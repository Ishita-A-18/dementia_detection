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meltzer/Downloads/"/>
    </mc:Choice>
  </mc:AlternateContent>
  <xr:revisionPtr revIDLastSave="0" documentId="8_{AEF4578F-6C64-B64C-B878-A15C12EC98A9}" xr6:coauthVersionLast="36" xr6:coauthVersionMax="36" xr10:uidLastSave="{00000000-0000-0000-0000-000000000000}"/>
  <bookViews>
    <workbookView xWindow="120" yWindow="500" windowWidth="25160" windowHeight="15340" activeTab="8" xr2:uid="{00000000-000D-0000-FFFF-FFFF00000000}"/>
  </bookViews>
  <sheets>
    <sheet name="allsubj_nts" sheetId="1" r:id="rId1"/>
    <sheet name="controls_nts" sheetId="2" r:id="rId2"/>
    <sheet name="ppa_nts" sheetId="3" r:id="rId3"/>
    <sheet name="mci_nts" sheetId="4" r:id="rId4"/>
    <sheet name="controls_adjusted" sheetId="5" r:id="rId5"/>
    <sheet name="ppa_adjusted" sheetId="6" r:id="rId6"/>
    <sheet name="mci_adjusted" sheetId="7" r:id="rId7"/>
    <sheet name="allsubj_adjusted" sheetId="8" r:id="rId8"/>
    <sheet name="neuropsych_data_am_ppa_mci" sheetId="9" r:id="rId9"/>
  </sheets>
  <calcPr calcId="181029"/>
</workbook>
</file>

<file path=xl/calcChain.xml><?xml version="1.0" encoding="utf-8"?>
<calcChain xmlns="http://schemas.openxmlformats.org/spreadsheetml/2006/main">
  <c r="U58" i="9" l="1"/>
  <c r="E31" i="2"/>
  <c r="E14" i="4"/>
  <c r="E17" i="3"/>
  <c r="E28" i="2"/>
  <c r="E15" i="6"/>
  <c r="AB15" i="6"/>
  <c r="AC15" i="6"/>
  <c r="AA15" i="6"/>
  <c r="Y15" i="6"/>
  <c r="X15" i="6"/>
  <c r="S15" i="6"/>
  <c r="N15" i="6"/>
  <c r="F15" i="6"/>
  <c r="G15" i="6"/>
  <c r="H15" i="6"/>
  <c r="I15" i="6"/>
  <c r="J15" i="6"/>
  <c r="D15" i="6"/>
  <c r="N12" i="7"/>
  <c r="L12" i="7"/>
  <c r="H12" i="7"/>
  <c r="I12" i="7"/>
  <c r="G12" i="7"/>
</calcChain>
</file>

<file path=xl/sharedStrings.xml><?xml version="1.0" encoding="utf-8"?>
<sst xmlns="http://schemas.openxmlformats.org/spreadsheetml/2006/main" count="675" uniqueCount="41">
  <si>
    <t>NT</t>
  </si>
  <si>
    <t>control</t>
  </si>
  <si>
    <t>PPA</t>
  </si>
  <si>
    <t>MCI</t>
  </si>
  <si>
    <t>subject</t>
  </si>
  <si>
    <t>group</t>
  </si>
  <si>
    <t>moca</t>
  </si>
  <si>
    <t>wl_del_recall</t>
  </si>
  <si>
    <t>wl_del_recog</t>
  </si>
  <si>
    <t>wl_imm_recall</t>
  </si>
  <si>
    <t>lm_imm_recall</t>
  </si>
  <si>
    <t>lm_del_recall</t>
  </si>
  <si>
    <t>lm_del_recog</t>
  </si>
  <si>
    <t>faces</t>
  </si>
  <si>
    <t>cf_imm_recall</t>
  </si>
  <si>
    <t>cf_del_recall</t>
  </si>
  <si>
    <t>cf_del_recog</t>
  </si>
  <si>
    <t>jlo</t>
  </si>
  <si>
    <t>symbolcancel</t>
  </si>
  <si>
    <t>digit_forward</t>
  </si>
  <si>
    <t>digit_backward</t>
  </si>
  <si>
    <t>trails_a</t>
  </si>
  <si>
    <t>trails_b</t>
  </si>
  <si>
    <t>bnt</t>
  </si>
  <si>
    <t>fluency_letters</t>
  </si>
  <si>
    <t>vnt</t>
  </si>
  <si>
    <t>vct</t>
  </si>
  <si>
    <t>aspt</t>
  </si>
  <si>
    <t>sppt</t>
  </si>
  <si>
    <t>sct</t>
  </si>
  <si>
    <t>cnrt</t>
  </si>
  <si>
    <t>sentrep_a</t>
  </si>
  <si>
    <t>sentrep_b</t>
  </si>
  <si>
    <t>ppvt</t>
  </si>
  <si>
    <t>camel</t>
  </si>
  <si>
    <t>AM</t>
  </si>
  <si>
    <t>*** EXCLUDED BECAUSE DID NOT COMPLETE ENOUGH TESTS</t>
  </si>
  <si>
    <t>Average</t>
  </si>
  <si>
    <t>Average:</t>
  </si>
  <si>
    <t># of NTs:</t>
  </si>
  <si>
    <t xml:space="preserve"># of 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</si>
</sst>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/>
    <xf numFmtId="0" fontId="0" fillId="0" borderId="0" xfId="0"/>
    <xf numFmtId="0" fontId="1" fillId="0" borderId="0" xfId="0" applyFont="1" applyBorder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2" borderId="0" xfId="0" applyFont="1" applyFill="1" applyBorder="1"/>
    <xf numFmtId="0" fontId="0" fillId="2" borderId="0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opLeftCell="A27" workbookViewId="0">
      <selection activeCell="D51" sqref="D51"/>
    </sheetView>
  </sheetViews>
  <sheetFormatPr baseColWidth="10" defaultColWidth="9.1640625" defaultRowHeight="15" x14ac:dyDescent="0.2"/>
  <cols>
    <col min="1" max="16384" width="9.1640625" style="5"/>
  </cols>
  <sheetData>
    <row r="1" spans="1:3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x14ac:dyDescent="0.2">
      <c r="A2" s="3">
        <v>1144</v>
      </c>
      <c r="B2" s="3" t="s">
        <v>1</v>
      </c>
      <c r="C2" s="3">
        <v>26</v>
      </c>
      <c r="D2" s="3">
        <v>35</v>
      </c>
      <c r="E2" s="3">
        <v>24</v>
      </c>
      <c r="F2" s="3">
        <v>36</v>
      </c>
      <c r="G2" s="3">
        <v>57.999999999999993</v>
      </c>
      <c r="H2" s="3">
        <v>48</v>
      </c>
      <c r="I2" s="3">
        <v>64.102564102564102</v>
      </c>
      <c r="J2" s="3">
        <v>48</v>
      </c>
      <c r="K2" s="3">
        <v>20</v>
      </c>
      <c r="L2" s="3">
        <v>20</v>
      </c>
      <c r="M2" s="3">
        <v>10</v>
      </c>
      <c r="N2" s="3">
        <v>28</v>
      </c>
      <c r="O2" s="3">
        <v>60</v>
      </c>
      <c r="P2" s="3">
        <v>7</v>
      </c>
      <c r="Q2" s="3">
        <v>4</v>
      </c>
      <c r="R2" s="3">
        <v>-41</v>
      </c>
      <c r="S2" s="3">
        <v>-112</v>
      </c>
      <c r="T2" s="3">
        <v>49</v>
      </c>
      <c r="U2" s="3">
        <v>26</v>
      </c>
      <c r="V2" s="3">
        <v>22</v>
      </c>
      <c r="W2" s="3">
        <v>22</v>
      </c>
      <c r="X2" s="3">
        <v>32</v>
      </c>
      <c r="Y2" s="3">
        <v>30</v>
      </c>
      <c r="Z2" s="3">
        <v>30</v>
      </c>
      <c r="AA2" s="3">
        <v>40</v>
      </c>
      <c r="AB2" s="3">
        <v>65</v>
      </c>
      <c r="AC2" s="3">
        <v>88</v>
      </c>
      <c r="AD2" s="3">
        <v>201</v>
      </c>
      <c r="AE2" s="3">
        <v>53</v>
      </c>
    </row>
    <row r="3" spans="1:31" x14ac:dyDescent="0.2">
      <c r="A3" s="3">
        <v>2571</v>
      </c>
      <c r="B3" s="3" t="s">
        <v>1</v>
      </c>
      <c r="C3" s="3">
        <v>27</v>
      </c>
      <c r="D3" s="3">
        <v>32</v>
      </c>
      <c r="E3" s="3">
        <v>15</v>
      </c>
      <c r="F3" s="3">
        <v>36</v>
      </c>
      <c r="G3" s="3">
        <v>75.471698113207552</v>
      </c>
      <c r="H3" s="3">
        <v>70</v>
      </c>
      <c r="I3" s="3">
        <v>86.956521739130437</v>
      </c>
      <c r="J3" s="3">
        <v>32</v>
      </c>
      <c r="K3" s="3">
        <v>19</v>
      </c>
      <c r="L3" s="3">
        <v>17</v>
      </c>
      <c r="M3" s="3">
        <v>10</v>
      </c>
      <c r="N3" s="3">
        <v>29</v>
      </c>
      <c r="O3" s="3">
        <v>58</v>
      </c>
      <c r="P3" s="3">
        <v>9</v>
      </c>
      <c r="Q3" s="3">
        <v>7</v>
      </c>
      <c r="R3" s="3">
        <v>-34</v>
      </c>
      <c r="S3" s="3">
        <v>-42</v>
      </c>
      <c r="T3" s="3">
        <v>60</v>
      </c>
      <c r="U3" s="3">
        <v>57</v>
      </c>
      <c r="V3" s="3">
        <v>21</v>
      </c>
      <c r="W3" s="3">
        <v>22</v>
      </c>
      <c r="X3" s="3">
        <v>30</v>
      </c>
      <c r="Y3" s="3">
        <v>30</v>
      </c>
      <c r="Z3" s="3">
        <v>30</v>
      </c>
      <c r="AA3" s="3">
        <v>38</v>
      </c>
      <c r="AB3" s="3">
        <v>64</v>
      </c>
      <c r="AC3" s="3">
        <v>88</v>
      </c>
      <c r="AD3" s="3">
        <v>218</v>
      </c>
      <c r="AE3" s="3">
        <v>61</v>
      </c>
    </row>
    <row r="4" spans="1:31" x14ac:dyDescent="0.2">
      <c r="A4" s="3">
        <v>5015</v>
      </c>
      <c r="B4" s="3" t="s">
        <v>1</v>
      </c>
      <c r="C4" s="3">
        <v>23</v>
      </c>
      <c r="D4" s="3">
        <v>12</v>
      </c>
      <c r="E4" s="3">
        <v>16</v>
      </c>
      <c r="F4" s="3">
        <v>35</v>
      </c>
      <c r="G4" s="3">
        <v>26.415094339622641</v>
      </c>
      <c r="H4" s="3">
        <v>30</v>
      </c>
      <c r="I4" s="3">
        <v>69.565217391304344</v>
      </c>
      <c r="J4" s="3">
        <v>44</v>
      </c>
      <c r="K4" s="3">
        <v>18</v>
      </c>
      <c r="L4" s="3">
        <v>18</v>
      </c>
      <c r="M4" s="3">
        <v>8</v>
      </c>
      <c r="N4" s="3">
        <v>30</v>
      </c>
      <c r="O4" s="3">
        <v>58</v>
      </c>
      <c r="P4" s="3">
        <v>6</v>
      </c>
      <c r="Q4" s="3">
        <v>5</v>
      </c>
      <c r="R4" s="3">
        <v>-91</v>
      </c>
      <c r="S4" s="3">
        <v>-231</v>
      </c>
      <c r="T4" s="3">
        <v>58</v>
      </c>
      <c r="U4" s="3">
        <v>23</v>
      </c>
      <c r="V4" s="3">
        <v>18</v>
      </c>
      <c r="W4" s="3">
        <v>22</v>
      </c>
      <c r="X4" s="3">
        <v>31</v>
      </c>
      <c r="Y4" s="3">
        <v>30</v>
      </c>
      <c r="Z4" s="3">
        <v>30</v>
      </c>
      <c r="AA4" s="3">
        <v>38</v>
      </c>
      <c r="AB4" s="3">
        <v>65</v>
      </c>
      <c r="AC4" s="3">
        <v>88</v>
      </c>
      <c r="AD4" s="3">
        <v>220</v>
      </c>
      <c r="AE4" s="3">
        <v>55</v>
      </c>
    </row>
    <row r="5" spans="1:31" x14ac:dyDescent="0.2">
      <c r="A5" s="3">
        <v>5228</v>
      </c>
      <c r="B5" s="3" t="s">
        <v>1</v>
      </c>
      <c r="C5" s="3">
        <v>25</v>
      </c>
      <c r="D5" s="3">
        <v>22</v>
      </c>
      <c r="E5" s="3">
        <v>16</v>
      </c>
      <c r="F5" s="3">
        <v>35</v>
      </c>
      <c r="G5" s="3">
        <v>69.811320754716974</v>
      </c>
      <c r="H5" s="3">
        <v>76.666666666666671</v>
      </c>
      <c r="I5" s="3">
        <v>86.956521739130437</v>
      </c>
      <c r="J5" s="3">
        <v>40</v>
      </c>
      <c r="K5" s="3">
        <v>13</v>
      </c>
      <c r="L5" s="3">
        <v>13</v>
      </c>
      <c r="M5" s="3">
        <v>5</v>
      </c>
      <c r="N5" s="3">
        <v>30</v>
      </c>
      <c r="O5" s="3">
        <v>60</v>
      </c>
      <c r="P5" s="3">
        <v>5</v>
      </c>
      <c r="Q5" s="3">
        <v>5</v>
      </c>
      <c r="R5" s="3">
        <v>-38</v>
      </c>
      <c r="S5" s="3">
        <v>-120</v>
      </c>
      <c r="T5" s="3">
        <v>60</v>
      </c>
      <c r="U5" s="3">
        <v>35</v>
      </c>
      <c r="V5" s="3">
        <v>21</v>
      </c>
      <c r="W5" s="3">
        <v>22</v>
      </c>
      <c r="X5" s="3">
        <v>31</v>
      </c>
      <c r="Y5" s="3">
        <v>30</v>
      </c>
      <c r="Z5" s="3">
        <v>30</v>
      </c>
      <c r="AA5" s="3">
        <v>38</v>
      </c>
      <c r="AB5" s="3">
        <v>62</v>
      </c>
      <c r="AC5" s="3">
        <v>88</v>
      </c>
      <c r="AD5" s="3">
        <v>222</v>
      </c>
      <c r="AE5" s="3">
        <v>55</v>
      </c>
    </row>
    <row r="6" spans="1:31" x14ac:dyDescent="0.2">
      <c r="A6" s="3">
        <v>6819</v>
      </c>
      <c r="B6" s="3" t="s">
        <v>1</v>
      </c>
      <c r="C6" s="3">
        <v>30</v>
      </c>
      <c r="D6" s="3">
        <v>31</v>
      </c>
      <c r="E6" s="3">
        <v>13</v>
      </c>
      <c r="F6" s="3">
        <v>35</v>
      </c>
      <c r="G6" s="3">
        <v>49.056603773584904</v>
      </c>
      <c r="H6" s="3">
        <v>23.333333333333332</v>
      </c>
      <c r="I6" s="3">
        <v>73.91304347826086</v>
      </c>
      <c r="J6" s="3">
        <v>33</v>
      </c>
      <c r="K6" s="3">
        <v>17</v>
      </c>
      <c r="L6" s="3">
        <v>17</v>
      </c>
      <c r="M6" s="3">
        <v>9</v>
      </c>
      <c r="N6" s="3">
        <v>23</v>
      </c>
      <c r="O6" s="3">
        <v>59</v>
      </c>
      <c r="P6" s="3">
        <v>7</v>
      </c>
      <c r="Q6" s="3">
        <v>5</v>
      </c>
      <c r="R6" s="3">
        <v>-42</v>
      </c>
      <c r="S6" s="3">
        <v>-77</v>
      </c>
      <c r="T6" s="3">
        <v>58</v>
      </c>
      <c r="U6" s="3">
        <v>61</v>
      </c>
      <c r="V6" s="3">
        <v>22</v>
      </c>
      <c r="W6" s="3">
        <v>22</v>
      </c>
      <c r="X6" s="3">
        <v>32</v>
      </c>
      <c r="Y6" s="3">
        <v>30</v>
      </c>
      <c r="Z6" s="3">
        <v>28</v>
      </c>
      <c r="AA6" s="3">
        <v>36</v>
      </c>
      <c r="AB6" s="3">
        <v>61</v>
      </c>
      <c r="AC6" s="3">
        <v>88</v>
      </c>
      <c r="AD6" s="3">
        <v>215</v>
      </c>
      <c r="AE6" s="3">
        <v>56</v>
      </c>
    </row>
    <row r="7" spans="1:31" x14ac:dyDescent="0.2">
      <c r="A7" s="3">
        <v>7522</v>
      </c>
      <c r="B7" s="3" t="s">
        <v>1</v>
      </c>
      <c r="C7" s="3">
        <v>25</v>
      </c>
      <c r="D7" s="3">
        <v>34</v>
      </c>
      <c r="E7" s="3">
        <v>19</v>
      </c>
      <c r="F7" s="3">
        <v>36</v>
      </c>
      <c r="G7" s="3">
        <v>60.377358490566039</v>
      </c>
      <c r="H7" s="3">
        <v>66.666666666666657</v>
      </c>
      <c r="I7" s="3">
        <v>91.304347826086953</v>
      </c>
      <c r="J7" s="3">
        <v>40</v>
      </c>
      <c r="K7" s="3">
        <v>17</v>
      </c>
      <c r="L7" s="3">
        <v>15</v>
      </c>
      <c r="M7" s="3">
        <v>10</v>
      </c>
      <c r="N7" s="3">
        <v>29</v>
      </c>
      <c r="O7" s="3">
        <v>58</v>
      </c>
      <c r="P7" s="3">
        <v>5</v>
      </c>
      <c r="Q7" s="3">
        <v>4</v>
      </c>
      <c r="R7" s="3">
        <v>-90</v>
      </c>
      <c r="S7" s="3">
        <v>-108</v>
      </c>
      <c r="T7" s="3">
        <v>58</v>
      </c>
      <c r="U7" s="3">
        <v>62</v>
      </c>
      <c r="V7" s="3">
        <v>21</v>
      </c>
      <c r="W7" s="3">
        <v>22</v>
      </c>
      <c r="X7" s="3">
        <v>31</v>
      </c>
      <c r="Y7" s="3">
        <v>30</v>
      </c>
      <c r="Z7" s="3">
        <v>30</v>
      </c>
      <c r="AA7" s="3">
        <v>40</v>
      </c>
      <c r="AB7" s="3">
        <v>65</v>
      </c>
      <c r="AC7" s="3">
        <v>88</v>
      </c>
      <c r="AD7" s="3">
        <v>215</v>
      </c>
      <c r="AE7" s="3">
        <v>56</v>
      </c>
    </row>
    <row r="8" spans="1:31" x14ac:dyDescent="0.2">
      <c r="A8" s="3">
        <v>7546</v>
      </c>
      <c r="B8" s="3" t="s">
        <v>1</v>
      </c>
      <c r="C8" s="3">
        <v>30</v>
      </c>
      <c r="D8" s="3">
        <v>44</v>
      </c>
      <c r="E8" s="3">
        <v>22</v>
      </c>
      <c r="F8" s="3">
        <v>36</v>
      </c>
      <c r="G8" s="3">
        <v>66</v>
      </c>
      <c r="H8" s="3">
        <v>62</v>
      </c>
      <c r="I8" s="3">
        <v>74.358974358974365</v>
      </c>
      <c r="J8" s="3">
        <v>49</v>
      </c>
      <c r="K8" s="3">
        <v>16</v>
      </c>
      <c r="L8" s="3">
        <v>16</v>
      </c>
      <c r="M8" s="3">
        <v>10</v>
      </c>
      <c r="N8" s="3">
        <v>28</v>
      </c>
      <c r="O8" s="3">
        <v>59</v>
      </c>
      <c r="P8" s="3">
        <v>9</v>
      </c>
      <c r="Q8" s="3">
        <v>8</v>
      </c>
      <c r="R8" s="3">
        <v>-29</v>
      </c>
      <c r="S8" s="3">
        <v>-46</v>
      </c>
      <c r="T8" s="3">
        <v>59</v>
      </c>
      <c r="U8" s="3">
        <v>89</v>
      </c>
      <c r="V8" s="3">
        <v>22</v>
      </c>
      <c r="W8" s="3">
        <v>22</v>
      </c>
      <c r="X8" s="3">
        <v>32</v>
      </c>
      <c r="Y8" s="3">
        <v>30</v>
      </c>
      <c r="Z8" s="3">
        <v>30</v>
      </c>
      <c r="AA8" s="3">
        <v>37</v>
      </c>
      <c r="AB8" s="3">
        <v>64</v>
      </c>
      <c r="AC8" s="3">
        <v>88</v>
      </c>
      <c r="AD8" s="3">
        <v>226</v>
      </c>
      <c r="AE8" s="3">
        <v>61</v>
      </c>
    </row>
    <row r="9" spans="1:31" x14ac:dyDescent="0.2">
      <c r="A9" s="3">
        <v>7973</v>
      </c>
      <c r="B9" s="3" t="s">
        <v>1</v>
      </c>
      <c r="C9" s="3">
        <v>24</v>
      </c>
      <c r="D9" s="3">
        <v>34</v>
      </c>
      <c r="E9" s="3">
        <v>17</v>
      </c>
      <c r="F9" s="3">
        <v>36</v>
      </c>
      <c r="G9" s="3">
        <v>49.056603773584904</v>
      </c>
      <c r="H9" s="3">
        <v>66.666666666666657</v>
      </c>
      <c r="I9" s="3">
        <v>91.304347826086953</v>
      </c>
      <c r="J9" s="3">
        <v>42</v>
      </c>
      <c r="K9" s="3">
        <v>18</v>
      </c>
      <c r="L9" s="3">
        <v>15</v>
      </c>
      <c r="M9" s="3">
        <v>9</v>
      </c>
      <c r="N9" s="3">
        <v>16</v>
      </c>
      <c r="O9" s="3">
        <v>57</v>
      </c>
      <c r="P9" s="3">
        <v>5</v>
      </c>
      <c r="Q9" s="3">
        <v>3</v>
      </c>
      <c r="R9" s="3">
        <v>-35</v>
      </c>
      <c r="S9" s="3">
        <v>-127</v>
      </c>
      <c r="T9" s="3">
        <v>44</v>
      </c>
      <c r="U9" s="3">
        <v>29</v>
      </c>
      <c r="V9" s="3">
        <v>18</v>
      </c>
      <c r="W9" s="3">
        <v>22</v>
      </c>
      <c r="X9" s="3">
        <v>32</v>
      </c>
      <c r="Y9" s="3">
        <v>16</v>
      </c>
      <c r="Z9" s="3">
        <v>25</v>
      </c>
      <c r="AA9" s="3">
        <v>18</v>
      </c>
      <c r="AB9" s="3">
        <v>60</v>
      </c>
      <c r="AC9" s="3">
        <v>85</v>
      </c>
      <c r="AD9" s="3">
        <v>194</v>
      </c>
      <c r="AE9" s="3">
        <v>52</v>
      </c>
    </row>
    <row r="10" spans="1:31" x14ac:dyDescent="0.2">
      <c r="A10" s="3">
        <v>8149</v>
      </c>
      <c r="B10" s="3" t="s">
        <v>1</v>
      </c>
      <c r="C10" s="3">
        <v>27</v>
      </c>
      <c r="D10" s="3">
        <v>27</v>
      </c>
      <c r="E10" s="3">
        <v>18</v>
      </c>
      <c r="F10" s="3">
        <v>34</v>
      </c>
      <c r="G10" s="3">
        <v>46</v>
      </c>
      <c r="H10" s="3">
        <v>36</v>
      </c>
      <c r="I10" s="3">
        <v>61.53846153846154</v>
      </c>
      <c r="J10" s="3">
        <v>43</v>
      </c>
      <c r="K10" s="3">
        <v>18</v>
      </c>
      <c r="L10" s="3">
        <v>18</v>
      </c>
      <c r="M10" s="3">
        <v>10</v>
      </c>
      <c r="N10" s="3">
        <v>23</v>
      </c>
      <c r="O10" s="3">
        <v>59</v>
      </c>
      <c r="P10" s="3">
        <v>6</v>
      </c>
      <c r="Q10" s="3">
        <v>5</v>
      </c>
      <c r="R10" s="3">
        <v>-54</v>
      </c>
      <c r="S10" s="3">
        <v>-95</v>
      </c>
      <c r="T10" s="3">
        <v>57</v>
      </c>
      <c r="U10" s="3">
        <v>56</v>
      </c>
      <c r="V10" s="3">
        <v>22</v>
      </c>
      <c r="W10" s="3">
        <v>21</v>
      </c>
      <c r="X10" s="3">
        <v>32</v>
      </c>
      <c r="Y10" s="3">
        <v>30</v>
      </c>
      <c r="Z10" s="3">
        <v>30</v>
      </c>
      <c r="AA10" s="3">
        <v>34</v>
      </c>
      <c r="AB10" s="3">
        <v>65</v>
      </c>
      <c r="AC10" s="3">
        <v>88</v>
      </c>
      <c r="AD10" s="3">
        <v>223</v>
      </c>
      <c r="AE10" s="3">
        <v>59</v>
      </c>
    </row>
    <row r="11" spans="1:31" x14ac:dyDescent="0.2">
      <c r="A11" s="3">
        <v>10306</v>
      </c>
      <c r="B11" s="3" t="s">
        <v>1</v>
      </c>
      <c r="C11" s="3">
        <v>27</v>
      </c>
      <c r="D11" s="3">
        <v>27</v>
      </c>
      <c r="E11" s="3">
        <v>14</v>
      </c>
      <c r="F11" s="3">
        <v>35</v>
      </c>
      <c r="G11" s="3">
        <v>81.132075471698116</v>
      </c>
      <c r="H11" s="3">
        <v>103.33333333333334</v>
      </c>
      <c r="I11" s="3">
        <v>91.304347826086953</v>
      </c>
      <c r="J11" s="3">
        <v>47</v>
      </c>
      <c r="K11" s="3">
        <v>20</v>
      </c>
      <c r="L11" s="3">
        <v>19</v>
      </c>
      <c r="M11" s="3">
        <v>10</v>
      </c>
      <c r="N11" s="3">
        <v>30</v>
      </c>
      <c r="O11" s="3">
        <v>60</v>
      </c>
      <c r="P11" s="3">
        <v>7</v>
      </c>
      <c r="Q11" s="3">
        <v>4</v>
      </c>
      <c r="R11" s="3">
        <v>-32</v>
      </c>
      <c r="S11" s="3">
        <v>-76</v>
      </c>
      <c r="T11" s="3">
        <v>60</v>
      </c>
      <c r="U11" s="3">
        <v>61</v>
      </c>
      <c r="V11" s="3">
        <v>21</v>
      </c>
      <c r="W11" s="3">
        <v>22</v>
      </c>
      <c r="X11" s="3">
        <v>31</v>
      </c>
      <c r="Y11" s="3">
        <v>30</v>
      </c>
      <c r="Z11" s="3">
        <v>30</v>
      </c>
      <c r="AA11" s="3">
        <v>30</v>
      </c>
      <c r="AB11" s="3">
        <v>63</v>
      </c>
      <c r="AC11" s="3">
        <v>88</v>
      </c>
      <c r="AD11" s="3">
        <v>227</v>
      </c>
      <c r="AE11" s="3">
        <v>57</v>
      </c>
    </row>
    <row r="12" spans="1:31" x14ac:dyDescent="0.2">
      <c r="A12" s="3">
        <v>10339</v>
      </c>
      <c r="B12" s="3" t="s">
        <v>1</v>
      </c>
      <c r="C12" s="3">
        <v>28</v>
      </c>
      <c r="D12" s="3">
        <v>35</v>
      </c>
      <c r="E12" s="3">
        <v>22</v>
      </c>
      <c r="F12" s="3">
        <v>36</v>
      </c>
      <c r="G12" s="3">
        <v>62.264150943396224</v>
      </c>
      <c r="H12" s="3">
        <v>43.333333333333336</v>
      </c>
      <c r="I12" s="3">
        <v>78.260869565217391</v>
      </c>
      <c r="J12" s="3">
        <v>45</v>
      </c>
      <c r="K12" s="3">
        <v>12</v>
      </c>
      <c r="L12" s="3">
        <v>11</v>
      </c>
      <c r="M12" s="3">
        <v>9</v>
      </c>
      <c r="N12" s="3">
        <v>24</v>
      </c>
      <c r="O12" s="3">
        <v>60</v>
      </c>
      <c r="P12" s="3">
        <v>9</v>
      </c>
      <c r="Q12" s="3">
        <v>8</v>
      </c>
      <c r="R12" s="3">
        <v>-32</v>
      </c>
      <c r="S12" s="3">
        <v>-75</v>
      </c>
      <c r="T12" s="3">
        <v>56</v>
      </c>
      <c r="U12" s="3">
        <v>75</v>
      </c>
      <c r="V12" s="3">
        <v>21</v>
      </c>
      <c r="W12" s="3">
        <v>22</v>
      </c>
      <c r="X12" s="3">
        <v>32</v>
      </c>
      <c r="Y12" s="3">
        <v>30</v>
      </c>
      <c r="Z12" s="3">
        <v>30</v>
      </c>
      <c r="AA12" s="3">
        <v>40</v>
      </c>
      <c r="AB12" s="3">
        <v>64</v>
      </c>
      <c r="AC12" s="3">
        <v>88</v>
      </c>
      <c r="AD12" s="3">
        <v>222</v>
      </c>
      <c r="AE12" s="3">
        <v>55</v>
      </c>
    </row>
    <row r="13" spans="1:31" x14ac:dyDescent="0.2">
      <c r="A13" s="3">
        <v>10347</v>
      </c>
      <c r="B13" s="3" t="s">
        <v>1</v>
      </c>
      <c r="C13" s="3">
        <v>27</v>
      </c>
      <c r="D13" s="3">
        <v>32</v>
      </c>
      <c r="E13" s="3">
        <v>16</v>
      </c>
      <c r="F13" s="3">
        <v>36</v>
      </c>
      <c r="G13" s="3">
        <v>66.037735849056602</v>
      </c>
      <c r="H13" s="3">
        <v>43.333333333333336</v>
      </c>
      <c r="I13" s="3">
        <v>73.91304347826086</v>
      </c>
      <c r="J13" s="3">
        <v>41</v>
      </c>
      <c r="K13" s="3">
        <v>6</v>
      </c>
      <c r="L13" s="3">
        <v>6</v>
      </c>
      <c r="M13" s="3">
        <v>2</v>
      </c>
      <c r="N13" s="3">
        <v>29</v>
      </c>
      <c r="O13" s="3">
        <v>60</v>
      </c>
      <c r="P13" s="3">
        <v>8</v>
      </c>
      <c r="Q13" s="3">
        <v>6</v>
      </c>
      <c r="R13" s="3">
        <v>-41</v>
      </c>
      <c r="S13" s="3">
        <v>-59</v>
      </c>
      <c r="T13" s="3">
        <v>52</v>
      </c>
      <c r="U13" s="3">
        <v>74</v>
      </c>
      <c r="V13" s="3">
        <v>19</v>
      </c>
      <c r="W13" s="3">
        <v>22</v>
      </c>
      <c r="X13" s="3">
        <v>32</v>
      </c>
      <c r="Y13" s="3">
        <v>30</v>
      </c>
      <c r="Z13" s="3">
        <v>30</v>
      </c>
      <c r="AA13" s="3">
        <v>38</v>
      </c>
      <c r="AB13" s="3">
        <v>64</v>
      </c>
      <c r="AC13" s="3">
        <v>87</v>
      </c>
      <c r="AD13" s="3">
        <v>211</v>
      </c>
      <c r="AE13" s="3">
        <v>55</v>
      </c>
    </row>
    <row r="14" spans="1:31" x14ac:dyDescent="0.2">
      <c r="A14" s="3">
        <v>10599</v>
      </c>
      <c r="B14" s="3" t="s">
        <v>1</v>
      </c>
      <c r="C14" s="3">
        <v>29</v>
      </c>
      <c r="D14" s="3">
        <v>37</v>
      </c>
      <c r="E14" s="3">
        <v>22</v>
      </c>
      <c r="F14" s="3">
        <v>36</v>
      </c>
      <c r="G14" s="3">
        <v>66</v>
      </c>
      <c r="H14" s="3">
        <v>57.999999999999993</v>
      </c>
      <c r="I14" s="3">
        <v>58.974358974358978</v>
      </c>
      <c r="J14" s="3">
        <v>47</v>
      </c>
      <c r="K14" s="3">
        <v>16</v>
      </c>
      <c r="L14" s="3">
        <v>16</v>
      </c>
      <c r="M14" s="3">
        <v>8</v>
      </c>
      <c r="N14" s="3">
        <v>25</v>
      </c>
      <c r="O14" s="3">
        <v>60</v>
      </c>
      <c r="P14" s="3">
        <v>8</v>
      </c>
      <c r="Q14" s="3">
        <v>8</v>
      </c>
      <c r="R14" s="3">
        <v>-34</v>
      </c>
      <c r="S14" s="3">
        <v>-77</v>
      </c>
      <c r="T14" s="3">
        <v>57</v>
      </c>
      <c r="U14" s="3" t="s">
        <v>0</v>
      </c>
      <c r="V14" s="3">
        <v>22</v>
      </c>
      <c r="W14" s="3">
        <v>22</v>
      </c>
      <c r="X14" s="3">
        <v>32</v>
      </c>
      <c r="Y14" s="3">
        <v>30</v>
      </c>
      <c r="Z14" s="3">
        <v>30</v>
      </c>
      <c r="AA14" s="3">
        <v>40</v>
      </c>
      <c r="AB14" s="3">
        <v>65</v>
      </c>
      <c r="AC14" s="3">
        <v>88</v>
      </c>
      <c r="AD14" s="3">
        <v>226</v>
      </c>
      <c r="AE14" s="3">
        <v>61</v>
      </c>
    </row>
    <row r="15" spans="1:31" x14ac:dyDescent="0.2">
      <c r="A15" s="3">
        <v>10631</v>
      </c>
      <c r="B15" s="3" t="s">
        <v>1</v>
      </c>
      <c r="C15" s="3">
        <v>27</v>
      </c>
      <c r="D15" s="3">
        <v>27</v>
      </c>
      <c r="E15" s="3">
        <v>18</v>
      </c>
      <c r="F15" s="3">
        <v>36</v>
      </c>
      <c r="G15" s="3">
        <v>57.999999999999993</v>
      </c>
      <c r="H15" s="3">
        <v>50</v>
      </c>
      <c r="I15" s="3">
        <v>71.794871794871796</v>
      </c>
      <c r="J15" s="3">
        <v>40</v>
      </c>
      <c r="K15" s="3">
        <v>14</v>
      </c>
      <c r="L15" s="3">
        <v>15</v>
      </c>
      <c r="M15" s="3">
        <v>9</v>
      </c>
      <c r="N15" s="3">
        <v>30</v>
      </c>
      <c r="O15" s="3">
        <v>60</v>
      </c>
      <c r="P15" s="3">
        <v>6</v>
      </c>
      <c r="Q15" s="3">
        <v>5</v>
      </c>
      <c r="R15" s="3">
        <v>-28</v>
      </c>
      <c r="S15" s="3">
        <v>-57</v>
      </c>
      <c r="T15" s="3">
        <v>60</v>
      </c>
      <c r="U15" s="3">
        <v>47</v>
      </c>
      <c r="V15" s="3">
        <v>22</v>
      </c>
      <c r="W15" s="3">
        <v>22</v>
      </c>
      <c r="X15" s="3">
        <v>32</v>
      </c>
      <c r="Y15" s="3">
        <v>30</v>
      </c>
      <c r="Z15" s="3">
        <v>30</v>
      </c>
      <c r="AA15" s="3">
        <v>40</v>
      </c>
      <c r="AB15" s="3">
        <v>64</v>
      </c>
      <c r="AC15" s="3">
        <v>88</v>
      </c>
      <c r="AD15" s="3">
        <v>226</v>
      </c>
      <c r="AE15" s="3">
        <v>60</v>
      </c>
    </row>
    <row r="16" spans="1:31" x14ac:dyDescent="0.2">
      <c r="A16" s="3">
        <v>10668</v>
      </c>
      <c r="B16" s="3" t="s">
        <v>1</v>
      </c>
      <c r="C16" s="3">
        <v>24</v>
      </c>
      <c r="D16" s="3">
        <v>23</v>
      </c>
      <c r="E16" s="3">
        <v>14</v>
      </c>
      <c r="F16" s="3">
        <v>36</v>
      </c>
      <c r="G16" s="3">
        <v>56.60377358490566</v>
      </c>
      <c r="H16" s="3">
        <v>66.666666666666657</v>
      </c>
      <c r="I16" s="3">
        <v>69.565217391304344</v>
      </c>
      <c r="J16" s="3">
        <v>37</v>
      </c>
      <c r="K16" s="3">
        <v>11</v>
      </c>
      <c r="L16" s="3">
        <v>11</v>
      </c>
      <c r="M16" s="3">
        <v>6</v>
      </c>
      <c r="N16" s="3">
        <v>30</v>
      </c>
      <c r="O16" s="3">
        <v>57</v>
      </c>
      <c r="P16" s="3">
        <v>5</v>
      </c>
      <c r="Q16" s="3">
        <v>4</v>
      </c>
      <c r="R16" s="3">
        <v>-50</v>
      </c>
      <c r="S16" s="3">
        <v>-115</v>
      </c>
      <c r="T16" s="3">
        <v>58</v>
      </c>
      <c r="U16" s="3">
        <v>41</v>
      </c>
      <c r="V16" s="3">
        <v>22</v>
      </c>
      <c r="W16" s="3">
        <v>22</v>
      </c>
      <c r="X16" s="3">
        <v>32</v>
      </c>
      <c r="Y16" s="3">
        <v>29</v>
      </c>
      <c r="Z16" s="3">
        <v>30</v>
      </c>
      <c r="AA16" s="3">
        <v>21</v>
      </c>
      <c r="AB16" s="3">
        <v>65</v>
      </c>
      <c r="AC16" s="3">
        <v>88</v>
      </c>
      <c r="AD16" s="3">
        <v>219</v>
      </c>
      <c r="AE16" s="3">
        <v>55</v>
      </c>
    </row>
    <row r="17" spans="1:31" x14ac:dyDescent="0.2">
      <c r="A17" s="3">
        <v>11257</v>
      </c>
      <c r="B17" s="3" t="s">
        <v>1</v>
      </c>
      <c r="C17" s="3">
        <v>28</v>
      </c>
      <c r="D17" s="3">
        <v>34</v>
      </c>
      <c r="E17" s="3">
        <v>22</v>
      </c>
      <c r="F17" s="3">
        <v>35</v>
      </c>
      <c r="G17" s="3">
        <v>71.698113207547166</v>
      </c>
      <c r="H17" s="3">
        <v>86.666666666666671</v>
      </c>
      <c r="I17" s="3">
        <v>91.304347826086953</v>
      </c>
      <c r="J17" s="3">
        <v>42</v>
      </c>
      <c r="K17" s="3">
        <v>15</v>
      </c>
      <c r="L17" s="3">
        <v>17</v>
      </c>
      <c r="M17" s="3">
        <v>6</v>
      </c>
      <c r="N17" s="3">
        <v>27</v>
      </c>
      <c r="O17" s="3">
        <v>60</v>
      </c>
      <c r="P17" s="3">
        <v>6</v>
      </c>
      <c r="Q17" s="3">
        <v>5</v>
      </c>
      <c r="R17" s="3">
        <v>-36</v>
      </c>
      <c r="S17" s="3">
        <v>-60</v>
      </c>
      <c r="T17" s="3">
        <v>56</v>
      </c>
      <c r="U17" s="3">
        <v>37</v>
      </c>
      <c r="V17" s="3">
        <v>20</v>
      </c>
      <c r="W17" s="3">
        <v>22</v>
      </c>
      <c r="X17" s="3">
        <v>30</v>
      </c>
      <c r="Y17" s="3">
        <v>30</v>
      </c>
      <c r="Z17" s="3">
        <v>30</v>
      </c>
      <c r="AA17" s="3">
        <v>37</v>
      </c>
      <c r="AB17" s="3">
        <v>64</v>
      </c>
      <c r="AC17" s="3">
        <v>88</v>
      </c>
      <c r="AD17" s="3">
        <v>217</v>
      </c>
      <c r="AE17" s="3">
        <v>59</v>
      </c>
    </row>
    <row r="18" spans="1:31" x14ac:dyDescent="0.2">
      <c r="A18" s="3">
        <v>11693</v>
      </c>
      <c r="B18" s="3" t="s">
        <v>1</v>
      </c>
      <c r="C18" s="3">
        <v>24</v>
      </c>
      <c r="D18" s="3">
        <v>27</v>
      </c>
      <c r="E18" s="3">
        <v>15</v>
      </c>
      <c r="F18" s="3">
        <v>36</v>
      </c>
      <c r="G18" s="3">
        <v>79.245283018867923</v>
      </c>
      <c r="H18" s="3">
        <v>90</v>
      </c>
      <c r="I18" s="3">
        <v>100</v>
      </c>
      <c r="J18" s="3">
        <v>45</v>
      </c>
      <c r="K18" s="3">
        <v>14</v>
      </c>
      <c r="L18" s="3">
        <v>10</v>
      </c>
      <c r="M18" s="3">
        <v>7</v>
      </c>
      <c r="N18" s="3">
        <v>28</v>
      </c>
      <c r="O18" s="3">
        <v>59</v>
      </c>
      <c r="P18" s="3">
        <v>6</v>
      </c>
      <c r="Q18" s="3">
        <v>4</v>
      </c>
      <c r="R18" s="3">
        <v>-41</v>
      </c>
      <c r="S18" s="3">
        <v>-88</v>
      </c>
      <c r="T18" s="3">
        <v>56</v>
      </c>
      <c r="U18" s="3">
        <v>37</v>
      </c>
      <c r="V18" s="3">
        <v>21</v>
      </c>
      <c r="W18" s="3">
        <v>22</v>
      </c>
      <c r="X18" s="3">
        <v>32</v>
      </c>
      <c r="Y18" s="3">
        <v>30</v>
      </c>
      <c r="Z18" s="3">
        <v>30</v>
      </c>
      <c r="AA18" s="3">
        <v>38</v>
      </c>
      <c r="AB18" s="3">
        <v>64</v>
      </c>
      <c r="AC18" s="3">
        <v>88</v>
      </c>
      <c r="AD18" s="3">
        <v>217</v>
      </c>
      <c r="AE18" s="3">
        <v>58</v>
      </c>
    </row>
    <row r="19" spans="1:31" x14ac:dyDescent="0.2">
      <c r="A19" s="3">
        <v>11733</v>
      </c>
      <c r="B19" s="3" t="s">
        <v>1</v>
      </c>
      <c r="C19" s="3">
        <v>24</v>
      </c>
      <c r="D19" s="3">
        <v>33</v>
      </c>
      <c r="E19" s="3">
        <v>14</v>
      </c>
      <c r="F19" s="3">
        <v>35</v>
      </c>
      <c r="G19" s="3">
        <v>38</v>
      </c>
      <c r="H19" s="3">
        <v>30</v>
      </c>
      <c r="I19" s="3">
        <v>56.410256410256409</v>
      </c>
      <c r="J19" s="3">
        <v>41</v>
      </c>
      <c r="K19" s="3">
        <v>20</v>
      </c>
      <c r="L19" s="3">
        <v>19</v>
      </c>
      <c r="M19" s="3">
        <v>9</v>
      </c>
      <c r="N19" s="3">
        <v>29</v>
      </c>
      <c r="O19" s="3">
        <v>59</v>
      </c>
      <c r="P19" s="3">
        <v>7</v>
      </c>
      <c r="Q19" s="3">
        <v>6</v>
      </c>
      <c r="R19" s="3">
        <v>-26</v>
      </c>
      <c r="S19" s="3">
        <v>-48</v>
      </c>
      <c r="T19" s="3">
        <v>53</v>
      </c>
      <c r="U19" s="3">
        <v>49</v>
      </c>
      <c r="V19" s="3">
        <v>22</v>
      </c>
      <c r="W19" s="3">
        <v>22</v>
      </c>
      <c r="X19" s="3">
        <v>32</v>
      </c>
      <c r="Y19" s="3">
        <v>30</v>
      </c>
      <c r="Z19" s="3">
        <v>30</v>
      </c>
      <c r="AA19" s="3">
        <v>36</v>
      </c>
      <c r="AB19" s="3">
        <v>62</v>
      </c>
      <c r="AC19" s="3">
        <v>84</v>
      </c>
      <c r="AD19" s="3">
        <v>216</v>
      </c>
      <c r="AE19" s="3">
        <v>55</v>
      </c>
    </row>
    <row r="20" spans="1:31" x14ac:dyDescent="0.2">
      <c r="A20" s="3">
        <v>11752</v>
      </c>
      <c r="B20" s="3" t="s">
        <v>1</v>
      </c>
      <c r="C20" s="3">
        <v>28</v>
      </c>
      <c r="D20" s="3">
        <v>33</v>
      </c>
      <c r="E20" s="3">
        <v>21</v>
      </c>
      <c r="F20" s="3">
        <v>36</v>
      </c>
      <c r="G20" s="3">
        <v>38</v>
      </c>
      <c r="H20" s="3">
        <v>30</v>
      </c>
      <c r="I20" s="3">
        <v>51.282051282051277</v>
      </c>
      <c r="J20" s="3">
        <v>41</v>
      </c>
      <c r="K20" s="3">
        <v>14</v>
      </c>
      <c r="L20" s="3">
        <v>14</v>
      </c>
      <c r="M20" s="3">
        <v>9</v>
      </c>
      <c r="N20" s="3">
        <v>23</v>
      </c>
      <c r="O20" s="3">
        <v>60</v>
      </c>
      <c r="P20" s="3">
        <v>8</v>
      </c>
      <c r="Q20" s="3">
        <v>6</v>
      </c>
      <c r="R20" s="3">
        <v>-41</v>
      </c>
      <c r="S20" s="3">
        <v>-51</v>
      </c>
      <c r="T20" s="3">
        <v>52</v>
      </c>
      <c r="U20" s="3">
        <v>58</v>
      </c>
      <c r="V20" s="3">
        <v>22</v>
      </c>
      <c r="W20" s="3">
        <v>22</v>
      </c>
      <c r="X20" s="3">
        <v>32</v>
      </c>
      <c r="Y20" s="3">
        <v>30</v>
      </c>
      <c r="Z20" s="3">
        <v>30</v>
      </c>
      <c r="AA20" s="3">
        <v>36</v>
      </c>
      <c r="AB20" s="3">
        <v>63</v>
      </c>
      <c r="AC20" s="3">
        <v>88</v>
      </c>
      <c r="AD20" s="3">
        <v>219</v>
      </c>
      <c r="AE20" s="3">
        <v>55</v>
      </c>
    </row>
    <row r="21" spans="1:31" x14ac:dyDescent="0.2">
      <c r="A21" s="3">
        <v>11841</v>
      </c>
      <c r="B21" s="3" t="s">
        <v>1</v>
      </c>
      <c r="C21" s="3">
        <v>27</v>
      </c>
      <c r="D21" s="3">
        <v>37</v>
      </c>
      <c r="E21" s="3">
        <v>22</v>
      </c>
      <c r="F21" s="3">
        <v>36</v>
      </c>
      <c r="G21" s="3">
        <v>77.358490566037744</v>
      </c>
      <c r="H21" s="3">
        <v>96.666666666666671</v>
      </c>
      <c r="I21" s="3">
        <v>91.304347826086953</v>
      </c>
      <c r="J21" s="3">
        <v>39</v>
      </c>
      <c r="K21" s="3">
        <v>14</v>
      </c>
      <c r="L21" s="3">
        <v>18</v>
      </c>
      <c r="M21" s="3">
        <v>10</v>
      </c>
      <c r="N21" s="3">
        <v>30</v>
      </c>
      <c r="O21" s="3">
        <v>60</v>
      </c>
      <c r="P21" s="3">
        <v>6</v>
      </c>
      <c r="Q21" s="3">
        <v>6</v>
      </c>
      <c r="R21" s="3">
        <v>-50</v>
      </c>
      <c r="S21" s="3">
        <v>-110</v>
      </c>
      <c r="T21" s="3">
        <v>59</v>
      </c>
      <c r="U21" s="3">
        <v>60</v>
      </c>
      <c r="V21" s="3">
        <v>20</v>
      </c>
      <c r="W21" s="3">
        <v>22</v>
      </c>
      <c r="X21" s="3">
        <v>32</v>
      </c>
      <c r="Y21" s="3">
        <v>30</v>
      </c>
      <c r="Z21" s="3">
        <v>30</v>
      </c>
      <c r="AA21" s="3">
        <v>38</v>
      </c>
      <c r="AB21" s="3">
        <v>65</v>
      </c>
      <c r="AC21" s="3">
        <v>86</v>
      </c>
      <c r="AD21" s="3">
        <v>220</v>
      </c>
      <c r="AE21" s="3">
        <v>58</v>
      </c>
    </row>
    <row r="22" spans="1:31" x14ac:dyDescent="0.2">
      <c r="A22" s="3">
        <v>12073</v>
      </c>
      <c r="B22" s="3" t="s">
        <v>1</v>
      </c>
      <c r="C22" s="3">
        <v>24</v>
      </c>
      <c r="D22" s="3">
        <v>29</v>
      </c>
      <c r="E22" s="3">
        <v>20</v>
      </c>
      <c r="F22" s="3">
        <v>35</v>
      </c>
      <c r="G22" s="3">
        <v>75.471698113207552</v>
      </c>
      <c r="H22" s="3">
        <v>80</v>
      </c>
      <c r="I22" s="3">
        <v>95.652173913043484</v>
      </c>
      <c r="J22" s="3">
        <v>43</v>
      </c>
      <c r="K22" s="3">
        <v>12</v>
      </c>
      <c r="L22" s="3">
        <v>13</v>
      </c>
      <c r="M22" s="3">
        <v>9</v>
      </c>
      <c r="N22" s="3">
        <v>22</v>
      </c>
      <c r="O22" s="3">
        <v>59</v>
      </c>
      <c r="P22" s="3">
        <v>6</v>
      </c>
      <c r="Q22" s="3">
        <v>5</v>
      </c>
      <c r="R22" s="3">
        <v>-70</v>
      </c>
      <c r="S22" s="3">
        <v>-142</v>
      </c>
      <c r="T22" s="3">
        <v>54</v>
      </c>
      <c r="U22" s="3">
        <v>40</v>
      </c>
      <c r="V22" s="3">
        <v>22</v>
      </c>
      <c r="W22" s="3">
        <v>22</v>
      </c>
      <c r="X22" s="3">
        <v>31</v>
      </c>
      <c r="Y22" s="3">
        <v>30</v>
      </c>
      <c r="Z22" s="3">
        <v>30</v>
      </c>
      <c r="AA22" s="3">
        <v>34</v>
      </c>
      <c r="AB22" s="3">
        <v>65</v>
      </c>
      <c r="AC22" s="3">
        <v>86</v>
      </c>
      <c r="AD22" s="3">
        <v>216</v>
      </c>
      <c r="AE22" s="3">
        <v>51</v>
      </c>
    </row>
    <row r="23" spans="1:31" x14ac:dyDescent="0.2">
      <c r="A23" s="3">
        <v>12158</v>
      </c>
      <c r="B23" s="3" t="s">
        <v>1</v>
      </c>
      <c r="C23" s="3">
        <v>27</v>
      </c>
      <c r="D23" s="3">
        <v>21</v>
      </c>
      <c r="E23" s="3">
        <v>13</v>
      </c>
      <c r="F23" s="3">
        <v>32</v>
      </c>
      <c r="G23" s="3">
        <v>60.377358490566039</v>
      </c>
      <c r="H23" s="3">
        <v>83.333333333333343</v>
      </c>
      <c r="I23" s="3">
        <v>91.304347826086953</v>
      </c>
      <c r="J23" s="3">
        <v>47</v>
      </c>
      <c r="K23" s="3">
        <v>19</v>
      </c>
      <c r="L23" s="3">
        <v>19</v>
      </c>
      <c r="M23" s="3">
        <v>10</v>
      </c>
      <c r="N23" s="3">
        <v>30</v>
      </c>
      <c r="O23" s="3">
        <v>56</v>
      </c>
      <c r="P23" s="3">
        <v>5</v>
      </c>
      <c r="Q23" s="3">
        <v>5</v>
      </c>
      <c r="R23" s="3">
        <v>-63</v>
      </c>
      <c r="S23" s="3">
        <v>-123</v>
      </c>
      <c r="T23" s="3">
        <v>57</v>
      </c>
      <c r="U23" s="3">
        <v>27</v>
      </c>
      <c r="V23" s="3">
        <v>22</v>
      </c>
      <c r="W23" s="3">
        <v>22</v>
      </c>
      <c r="X23" s="3">
        <v>30</v>
      </c>
      <c r="Y23" s="3">
        <v>30</v>
      </c>
      <c r="Z23" s="3">
        <v>30</v>
      </c>
      <c r="AA23" s="3">
        <v>36</v>
      </c>
      <c r="AB23" s="3">
        <v>65</v>
      </c>
      <c r="AC23" s="3">
        <v>88</v>
      </c>
      <c r="AD23" s="3">
        <v>225</v>
      </c>
      <c r="AE23" s="3">
        <v>59</v>
      </c>
    </row>
    <row r="24" spans="1:31" x14ac:dyDescent="0.2">
      <c r="A24" s="3">
        <v>12269</v>
      </c>
      <c r="B24" s="3" t="s">
        <v>1</v>
      </c>
      <c r="C24" s="3">
        <v>28</v>
      </c>
      <c r="D24" s="3">
        <v>29</v>
      </c>
      <c r="E24" s="3">
        <v>17</v>
      </c>
      <c r="F24" s="3">
        <v>34</v>
      </c>
      <c r="G24" s="3">
        <v>56.000000000000007</v>
      </c>
      <c r="H24" s="3">
        <v>57.999999999999993</v>
      </c>
      <c r="I24" s="3">
        <v>79.487179487179489</v>
      </c>
      <c r="J24" s="3">
        <v>37</v>
      </c>
      <c r="K24" s="3">
        <v>13</v>
      </c>
      <c r="L24" s="3">
        <v>13</v>
      </c>
      <c r="M24" s="3">
        <v>8</v>
      </c>
      <c r="N24" s="3">
        <v>30</v>
      </c>
      <c r="O24" s="3">
        <v>60</v>
      </c>
      <c r="P24" s="3">
        <v>7</v>
      </c>
      <c r="Q24" s="3">
        <v>5</v>
      </c>
      <c r="R24" s="3">
        <v>-31</v>
      </c>
      <c r="S24" s="3">
        <v>-93</v>
      </c>
      <c r="T24" s="3">
        <v>60</v>
      </c>
      <c r="U24" s="3">
        <v>58</v>
      </c>
      <c r="V24" s="3">
        <v>21</v>
      </c>
      <c r="W24" s="3">
        <v>22</v>
      </c>
      <c r="X24" s="3">
        <v>32</v>
      </c>
      <c r="Y24" s="3">
        <v>30</v>
      </c>
      <c r="Z24" s="3">
        <v>30</v>
      </c>
      <c r="AA24" s="3">
        <v>38</v>
      </c>
      <c r="AB24" s="3">
        <v>63</v>
      </c>
      <c r="AC24" s="3">
        <v>88</v>
      </c>
      <c r="AD24" s="3">
        <v>224</v>
      </c>
      <c r="AE24" s="3">
        <v>59</v>
      </c>
    </row>
    <row r="25" spans="1:31" x14ac:dyDescent="0.2">
      <c r="A25" s="3">
        <v>12272</v>
      </c>
      <c r="B25" s="3" t="s">
        <v>1</v>
      </c>
      <c r="C25" s="3">
        <v>27</v>
      </c>
      <c r="D25" s="3">
        <v>29</v>
      </c>
      <c r="E25" s="3">
        <v>16</v>
      </c>
      <c r="F25" s="3">
        <v>36</v>
      </c>
      <c r="G25" s="3">
        <v>66</v>
      </c>
      <c r="H25" s="3">
        <v>52</v>
      </c>
      <c r="I25" s="3">
        <v>69.230769230769226</v>
      </c>
      <c r="J25" s="3">
        <v>44</v>
      </c>
      <c r="K25" s="3">
        <v>13</v>
      </c>
      <c r="L25" s="3">
        <v>14</v>
      </c>
      <c r="M25" s="3">
        <v>10</v>
      </c>
      <c r="N25" s="3">
        <v>30</v>
      </c>
      <c r="O25" s="3">
        <v>60</v>
      </c>
      <c r="P25" s="3">
        <v>6</v>
      </c>
      <c r="Q25" s="3">
        <v>5</v>
      </c>
      <c r="R25" s="3">
        <v>-27</v>
      </c>
      <c r="S25" s="3">
        <v>-75</v>
      </c>
      <c r="T25" s="3">
        <v>57</v>
      </c>
      <c r="U25" s="3">
        <v>36</v>
      </c>
      <c r="V25" s="3">
        <v>22</v>
      </c>
      <c r="W25" s="3">
        <v>21</v>
      </c>
      <c r="X25" s="3">
        <v>31</v>
      </c>
      <c r="Y25" s="3">
        <v>29</v>
      </c>
      <c r="Z25" s="3">
        <v>30</v>
      </c>
      <c r="AA25" s="3">
        <v>38</v>
      </c>
      <c r="AB25" s="3">
        <v>63</v>
      </c>
      <c r="AC25" s="3">
        <v>88</v>
      </c>
      <c r="AD25" s="3">
        <v>215</v>
      </c>
      <c r="AE25" s="3">
        <v>60</v>
      </c>
    </row>
    <row r="26" spans="1:31" x14ac:dyDescent="0.2">
      <c r="A26" s="3">
        <v>12370</v>
      </c>
      <c r="B26" s="3" t="s">
        <v>1</v>
      </c>
      <c r="C26" s="3">
        <v>27</v>
      </c>
      <c r="D26" s="3">
        <v>30</v>
      </c>
      <c r="E26" s="3">
        <v>12</v>
      </c>
      <c r="F26" s="3">
        <v>34</v>
      </c>
      <c r="G26" s="3">
        <v>64</v>
      </c>
      <c r="H26" s="3">
        <v>40</v>
      </c>
      <c r="I26" s="3">
        <v>66.666666666666657</v>
      </c>
      <c r="J26" s="3">
        <v>40</v>
      </c>
      <c r="K26" s="3">
        <v>18</v>
      </c>
      <c r="L26" s="3">
        <v>18</v>
      </c>
      <c r="M26" s="3">
        <v>10</v>
      </c>
      <c r="N26" s="3">
        <v>27</v>
      </c>
      <c r="O26" s="3">
        <v>60</v>
      </c>
      <c r="P26" s="3">
        <v>9</v>
      </c>
      <c r="Q26" s="3">
        <v>7</v>
      </c>
      <c r="R26" s="3">
        <v>-27</v>
      </c>
      <c r="S26" s="3">
        <v>-44</v>
      </c>
      <c r="T26" s="3">
        <v>54</v>
      </c>
      <c r="U26" s="3">
        <v>87</v>
      </c>
      <c r="V26" s="3">
        <v>22</v>
      </c>
      <c r="W26" s="3">
        <v>22</v>
      </c>
      <c r="X26" s="3">
        <v>32</v>
      </c>
      <c r="Y26" s="3">
        <v>30</v>
      </c>
      <c r="Z26" s="3">
        <v>30</v>
      </c>
      <c r="AA26" s="3">
        <v>40</v>
      </c>
      <c r="AB26" s="3">
        <v>65</v>
      </c>
      <c r="AC26" s="3">
        <v>88</v>
      </c>
      <c r="AD26" s="3">
        <v>214</v>
      </c>
      <c r="AE26" s="3">
        <v>54</v>
      </c>
    </row>
    <row r="27" spans="1:31" x14ac:dyDescent="0.2">
      <c r="A27" s="5">
        <v>10285</v>
      </c>
      <c r="B27" s="1" t="s">
        <v>2</v>
      </c>
      <c r="C27" s="5">
        <v>25</v>
      </c>
      <c r="D27" s="5">
        <v>38</v>
      </c>
      <c r="E27" s="5">
        <v>19</v>
      </c>
      <c r="F27" s="5">
        <v>36</v>
      </c>
      <c r="G27" s="3">
        <v>45.283018867924532</v>
      </c>
      <c r="H27" s="3">
        <v>63.333333333333329</v>
      </c>
      <c r="I27" s="3">
        <v>73.91304347826086</v>
      </c>
      <c r="J27" s="5">
        <v>45</v>
      </c>
      <c r="K27" s="5">
        <v>16</v>
      </c>
      <c r="L27" s="5">
        <v>16</v>
      </c>
      <c r="M27" s="5">
        <v>10</v>
      </c>
      <c r="N27" s="5">
        <v>29</v>
      </c>
      <c r="O27" s="5">
        <v>59</v>
      </c>
      <c r="P27" s="5">
        <v>5</v>
      </c>
      <c r="Q27" s="5">
        <v>5</v>
      </c>
      <c r="R27" s="3">
        <v>-61</v>
      </c>
      <c r="S27" s="3">
        <v>-199</v>
      </c>
      <c r="T27" s="5">
        <v>57</v>
      </c>
      <c r="U27" s="5">
        <v>18</v>
      </c>
      <c r="V27" s="5">
        <v>22</v>
      </c>
      <c r="W27" s="5">
        <v>22</v>
      </c>
      <c r="X27" s="5">
        <v>32</v>
      </c>
      <c r="Y27" s="5">
        <v>26</v>
      </c>
      <c r="Z27" s="5">
        <v>30</v>
      </c>
      <c r="AA27" s="5">
        <v>31</v>
      </c>
      <c r="AB27" s="5">
        <v>64</v>
      </c>
      <c r="AC27" s="5">
        <v>84</v>
      </c>
      <c r="AD27" s="5">
        <v>212</v>
      </c>
      <c r="AE27" s="5">
        <v>57</v>
      </c>
    </row>
    <row r="28" spans="1:31" x14ac:dyDescent="0.2">
      <c r="A28" s="5">
        <v>8539</v>
      </c>
      <c r="B28" s="1" t="s">
        <v>2</v>
      </c>
      <c r="C28" s="5">
        <v>19</v>
      </c>
      <c r="D28" s="5" t="s">
        <v>0</v>
      </c>
      <c r="E28" s="5" t="s">
        <v>0</v>
      </c>
      <c r="F28" s="5" t="s">
        <v>0</v>
      </c>
      <c r="G28" s="5" t="s">
        <v>0</v>
      </c>
      <c r="H28" s="5" t="s">
        <v>0</v>
      </c>
      <c r="I28" s="5" t="s">
        <v>0</v>
      </c>
      <c r="J28" s="5">
        <v>44</v>
      </c>
      <c r="K28" s="5">
        <v>15</v>
      </c>
      <c r="L28" s="5">
        <v>15</v>
      </c>
      <c r="M28" s="5">
        <v>10</v>
      </c>
      <c r="N28" s="5">
        <v>29</v>
      </c>
      <c r="O28" s="5">
        <v>59</v>
      </c>
      <c r="P28" s="5">
        <v>3</v>
      </c>
      <c r="Q28" s="5">
        <v>3</v>
      </c>
      <c r="R28" s="3">
        <v>-42</v>
      </c>
      <c r="S28" s="3">
        <v>-123</v>
      </c>
      <c r="T28" s="5">
        <v>23</v>
      </c>
      <c r="U28" s="5">
        <v>21</v>
      </c>
      <c r="V28" s="5">
        <v>14</v>
      </c>
      <c r="W28" s="5">
        <v>22</v>
      </c>
      <c r="X28" s="5" t="s">
        <v>0</v>
      </c>
      <c r="Y28" s="5" t="s">
        <v>0</v>
      </c>
      <c r="Z28" s="5">
        <v>15</v>
      </c>
      <c r="AA28" s="5">
        <v>5</v>
      </c>
      <c r="AB28" s="5" t="s">
        <v>0</v>
      </c>
      <c r="AC28" s="5" t="s">
        <v>0</v>
      </c>
      <c r="AD28" s="5">
        <v>169</v>
      </c>
      <c r="AE28" s="5">
        <v>53</v>
      </c>
    </row>
    <row r="29" spans="1:31" x14ac:dyDescent="0.2">
      <c r="A29" s="5">
        <v>10361</v>
      </c>
      <c r="B29" s="1" t="s">
        <v>2</v>
      </c>
      <c r="C29" s="5">
        <v>14</v>
      </c>
      <c r="D29" s="5">
        <v>12</v>
      </c>
      <c r="E29" s="5">
        <v>7</v>
      </c>
      <c r="F29" s="5">
        <v>28</v>
      </c>
      <c r="G29" s="3">
        <v>20.754716981132077</v>
      </c>
      <c r="H29" s="3">
        <v>20</v>
      </c>
      <c r="I29" s="3">
        <v>86.956521739130437</v>
      </c>
      <c r="J29" s="5">
        <v>26</v>
      </c>
      <c r="K29" s="5">
        <v>10</v>
      </c>
      <c r="L29" s="5">
        <v>10</v>
      </c>
      <c r="M29" s="5">
        <v>8</v>
      </c>
      <c r="N29" s="5">
        <v>0</v>
      </c>
      <c r="O29" s="5">
        <v>43</v>
      </c>
      <c r="P29" s="5">
        <v>5</v>
      </c>
      <c r="Q29" s="5">
        <v>4</v>
      </c>
      <c r="R29" s="3">
        <v>-108</v>
      </c>
      <c r="S29" s="3" t="s">
        <v>0</v>
      </c>
      <c r="T29" s="5">
        <v>53</v>
      </c>
      <c r="U29" s="5">
        <v>14</v>
      </c>
      <c r="V29" s="5">
        <v>21</v>
      </c>
      <c r="W29" s="5">
        <v>22</v>
      </c>
      <c r="X29" s="5">
        <v>32</v>
      </c>
      <c r="Y29" s="5" t="s">
        <v>0</v>
      </c>
      <c r="Z29" s="5">
        <v>26</v>
      </c>
      <c r="AA29" s="5">
        <v>40</v>
      </c>
      <c r="AB29" s="5">
        <v>29</v>
      </c>
      <c r="AC29" s="5">
        <v>72</v>
      </c>
      <c r="AD29" s="5">
        <v>214</v>
      </c>
      <c r="AE29" s="5">
        <v>46</v>
      </c>
    </row>
    <row r="30" spans="1:31" x14ac:dyDescent="0.2">
      <c r="A30" s="5">
        <v>12756</v>
      </c>
      <c r="B30" s="1" t="s">
        <v>2</v>
      </c>
      <c r="C30" s="5">
        <v>14</v>
      </c>
      <c r="D30" s="5" t="s">
        <v>0</v>
      </c>
      <c r="E30" s="5" t="s">
        <v>0</v>
      </c>
      <c r="F30" s="5" t="s">
        <v>0</v>
      </c>
      <c r="G30" s="3">
        <v>10</v>
      </c>
      <c r="H30" s="3">
        <v>8</v>
      </c>
      <c r="I30" s="3">
        <v>20.512820512820511</v>
      </c>
      <c r="J30" s="5" t="s">
        <v>0</v>
      </c>
      <c r="K30" s="5">
        <v>10</v>
      </c>
      <c r="L30" s="5">
        <v>15</v>
      </c>
      <c r="M30" s="5">
        <v>8</v>
      </c>
      <c r="N30" s="5">
        <v>17</v>
      </c>
      <c r="O30" s="5">
        <v>57</v>
      </c>
      <c r="P30" s="5">
        <v>4</v>
      </c>
      <c r="Q30" s="5">
        <v>3</v>
      </c>
      <c r="R30" s="3">
        <v>-94</v>
      </c>
      <c r="S30" s="3">
        <v>-398</v>
      </c>
      <c r="T30" s="5">
        <v>27</v>
      </c>
      <c r="U30" s="5">
        <v>9</v>
      </c>
      <c r="V30" s="5">
        <v>5</v>
      </c>
      <c r="W30" s="5">
        <v>21</v>
      </c>
      <c r="X30" s="5">
        <v>29</v>
      </c>
      <c r="Y30" s="5">
        <v>7</v>
      </c>
      <c r="Z30" s="5">
        <v>24</v>
      </c>
      <c r="AA30" s="5">
        <v>32</v>
      </c>
      <c r="AB30" s="5">
        <v>19</v>
      </c>
      <c r="AC30" s="5">
        <v>47</v>
      </c>
      <c r="AD30" s="5">
        <v>208</v>
      </c>
      <c r="AE30" s="5">
        <v>51</v>
      </c>
    </row>
    <row r="31" spans="1:31" x14ac:dyDescent="0.2">
      <c r="A31" s="5">
        <v>12828</v>
      </c>
      <c r="B31" s="1" t="s">
        <v>2</v>
      </c>
      <c r="C31" s="5">
        <v>22</v>
      </c>
      <c r="D31" s="5">
        <v>36</v>
      </c>
      <c r="E31" s="5">
        <v>16</v>
      </c>
      <c r="F31" s="5">
        <v>36</v>
      </c>
      <c r="G31" s="3">
        <v>54.716981132075468</v>
      </c>
      <c r="H31" s="3">
        <v>60</v>
      </c>
      <c r="I31" s="3">
        <v>91.304347826086953</v>
      </c>
      <c r="J31" s="5">
        <v>32</v>
      </c>
      <c r="K31" s="5">
        <v>10</v>
      </c>
      <c r="L31" s="5">
        <v>10</v>
      </c>
      <c r="M31" s="5">
        <v>8</v>
      </c>
      <c r="N31" s="5" t="s">
        <v>0</v>
      </c>
      <c r="O31" s="5">
        <v>57</v>
      </c>
      <c r="P31" s="5">
        <v>5</v>
      </c>
      <c r="Q31" s="5">
        <v>3</v>
      </c>
      <c r="R31" s="3">
        <v>-78</v>
      </c>
      <c r="S31" s="3">
        <v>-204</v>
      </c>
      <c r="T31" s="5">
        <v>49</v>
      </c>
      <c r="U31" s="5">
        <v>17</v>
      </c>
      <c r="V31" s="5">
        <v>20</v>
      </c>
      <c r="W31" s="5">
        <v>21</v>
      </c>
      <c r="X31" s="5">
        <v>31</v>
      </c>
      <c r="Y31" s="5">
        <v>25</v>
      </c>
      <c r="Z31" s="5">
        <v>30</v>
      </c>
      <c r="AA31" s="5">
        <v>35</v>
      </c>
      <c r="AB31" s="5">
        <v>59</v>
      </c>
      <c r="AC31" s="5">
        <v>87</v>
      </c>
      <c r="AD31" s="5">
        <v>202</v>
      </c>
      <c r="AE31" s="5">
        <v>51</v>
      </c>
    </row>
    <row r="32" spans="1:31" x14ac:dyDescent="0.2">
      <c r="A32" s="5">
        <v>11014</v>
      </c>
      <c r="B32" s="1" t="s">
        <v>2</v>
      </c>
      <c r="C32" s="5">
        <v>12</v>
      </c>
      <c r="D32" s="5">
        <v>15</v>
      </c>
      <c r="E32" s="5">
        <v>5</v>
      </c>
      <c r="F32" s="5">
        <v>34</v>
      </c>
      <c r="G32" s="3">
        <v>26.415094339622641</v>
      </c>
      <c r="H32" s="3">
        <v>20</v>
      </c>
      <c r="I32" s="3">
        <v>82.608695652173907</v>
      </c>
      <c r="J32" s="5">
        <v>35</v>
      </c>
      <c r="K32" s="5">
        <v>7</v>
      </c>
      <c r="L32" s="5">
        <v>8</v>
      </c>
      <c r="M32" s="5">
        <v>5</v>
      </c>
      <c r="N32" s="5" t="s">
        <v>0</v>
      </c>
      <c r="O32" s="5">
        <v>35</v>
      </c>
      <c r="P32" s="5">
        <v>6</v>
      </c>
      <c r="Q32" s="5">
        <v>4</v>
      </c>
      <c r="R32" s="3">
        <v>-176</v>
      </c>
      <c r="S32" s="3" t="e">
        <v>#VALUE!</v>
      </c>
      <c r="T32" s="5">
        <v>8</v>
      </c>
      <c r="U32" s="5">
        <v>17</v>
      </c>
      <c r="V32" s="5">
        <v>12</v>
      </c>
      <c r="W32" s="5">
        <v>18</v>
      </c>
      <c r="X32" s="5">
        <v>27</v>
      </c>
      <c r="Y32" s="5">
        <v>29</v>
      </c>
      <c r="Z32" s="5">
        <v>19</v>
      </c>
      <c r="AA32" s="5">
        <v>39</v>
      </c>
      <c r="AB32" s="5">
        <v>62</v>
      </c>
      <c r="AC32" s="5">
        <v>80</v>
      </c>
      <c r="AD32" s="5">
        <v>167</v>
      </c>
      <c r="AE32" s="5">
        <v>34</v>
      </c>
    </row>
    <row r="33" spans="1:31" x14ac:dyDescent="0.2">
      <c r="A33" s="5">
        <v>12829</v>
      </c>
      <c r="B33" s="1" t="s">
        <v>2</v>
      </c>
      <c r="C33" s="5">
        <v>21</v>
      </c>
      <c r="D33" s="5">
        <v>21</v>
      </c>
      <c r="E33" s="5">
        <v>13</v>
      </c>
      <c r="F33" s="5">
        <v>35</v>
      </c>
      <c r="G33" s="3">
        <v>41.509433962264154</v>
      </c>
      <c r="H33" s="3">
        <v>43.333333333333336</v>
      </c>
      <c r="I33" s="3">
        <v>78.260869565217391</v>
      </c>
      <c r="J33" s="5">
        <v>34</v>
      </c>
      <c r="K33" s="5">
        <v>16</v>
      </c>
      <c r="L33" s="5">
        <v>14</v>
      </c>
      <c r="M33" s="5">
        <v>10</v>
      </c>
      <c r="N33" s="5">
        <v>28</v>
      </c>
      <c r="O33" s="5">
        <v>35</v>
      </c>
      <c r="P33" s="5">
        <v>6</v>
      </c>
      <c r="Q33" s="5">
        <v>3</v>
      </c>
      <c r="R33" s="3">
        <v>-89</v>
      </c>
      <c r="S33" s="3">
        <v>-275</v>
      </c>
      <c r="T33" s="5">
        <v>54</v>
      </c>
      <c r="U33" s="5">
        <v>7</v>
      </c>
      <c r="V33" s="5">
        <v>21</v>
      </c>
      <c r="W33" s="5">
        <v>22</v>
      </c>
      <c r="X33" s="5">
        <v>32</v>
      </c>
      <c r="Y33" s="5">
        <v>30</v>
      </c>
      <c r="Z33" s="5">
        <v>30</v>
      </c>
      <c r="AA33" s="5">
        <v>31</v>
      </c>
      <c r="AB33" s="5">
        <v>62</v>
      </c>
      <c r="AC33" s="5">
        <v>86</v>
      </c>
      <c r="AD33" s="5">
        <v>215</v>
      </c>
      <c r="AE33" s="5">
        <v>50</v>
      </c>
    </row>
    <row r="34" spans="1:31" x14ac:dyDescent="0.2">
      <c r="A34" s="5">
        <v>12952</v>
      </c>
      <c r="B34" s="1" t="s">
        <v>2</v>
      </c>
      <c r="C34" s="5">
        <v>26</v>
      </c>
      <c r="D34" s="5">
        <v>40</v>
      </c>
      <c r="E34" s="5">
        <v>24</v>
      </c>
      <c r="F34" s="5">
        <v>36</v>
      </c>
      <c r="G34" s="3">
        <v>52</v>
      </c>
      <c r="H34" s="3">
        <v>48</v>
      </c>
      <c r="I34" s="3">
        <v>56.410256410256409</v>
      </c>
      <c r="J34" s="5">
        <v>43</v>
      </c>
      <c r="K34" s="5">
        <v>16</v>
      </c>
      <c r="L34" s="5">
        <v>15</v>
      </c>
      <c r="M34" s="5">
        <v>8</v>
      </c>
      <c r="N34" s="5">
        <v>15</v>
      </c>
      <c r="O34" s="5">
        <v>58</v>
      </c>
      <c r="P34" s="5">
        <v>5</v>
      </c>
      <c r="Q34" s="5">
        <v>4</v>
      </c>
      <c r="R34" s="3">
        <v>-62</v>
      </c>
      <c r="S34" s="3">
        <v>-105</v>
      </c>
      <c r="T34" s="5">
        <v>40</v>
      </c>
      <c r="U34" s="5">
        <v>17</v>
      </c>
      <c r="V34" s="5">
        <v>21</v>
      </c>
      <c r="W34" s="5">
        <v>22</v>
      </c>
      <c r="X34" s="5">
        <v>32</v>
      </c>
      <c r="Y34" s="5">
        <v>27</v>
      </c>
      <c r="Z34" s="5">
        <v>30</v>
      </c>
      <c r="AA34" s="5">
        <v>37</v>
      </c>
      <c r="AB34" s="5">
        <v>63</v>
      </c>
      <c r="AC34" s="5">
        <v>85</v>
      </c>
      <c r="AD34" s="5">
        <v>168</v>
      </c>
      <c r="AE34" s="5">
        <v>55</v>
      </c>
    </row>
    <row r="35" spans="1:31" x14ac:dyDescent="0.2">
      <c r="A35" s="5">
        <v>13088</v>
      </c>
      <c r="B35" s="1" t="s">
        <v>2</v>
      </c>
      <c r="C35" s="5">
        <v>6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  <c r="M35" s="5" t="s">
        <v>0</v>
      </c>
      <c r="N35" s="5" t="s">
        <v>0</v>
      </c>
      <c r="O35" s="5" t="s">
        <v>0</v>
      </c>
      <c r="P35" s="5" t="s">
        <v>0</v>
      </c>
      <c r="Q35" s="5" t="s">
        <v>0</v>
      </c>
      <c r="R35" s="3" t="e">
        <v>#VALUE!</v>
      </c>
      <c r="S35" s="3" t="e">
        <v>#VALUE!</v>
      </c>
      <c r="T35" s="5" t="s">
        <v>0</v>
      </c>
      <c r="U35" s="5" t="s">
        <v>0</v>
      </c>
      <c r="V35" s="5" t="s">
        <v>0</v>
      </c>
      <c r="W35" s="5" t="s">
        <v>0</v>
      </c>
      <c r="X35" s="5" t="s">
        <v>0</v>
      </c>
      <c r="Y35" s="5" t="s">
        <v>0</v>
      </c>
      <c r="Z35" s="5">
        <v>22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</row>
    <row r="36" spans="1:31" x14ac:dyDescent="0.2">
      <c r="A36" s="5">
        <v>13187</v>
      </c>
      <c r="B36" s="1" t="s">
        <v>2</v>
      </c>
      <c r="C36" s="5">
        <v>23</v>
      </c>
      <c r="D36" s="5">
        <v>27</v>
      </c>
      <c r="E36" s="5">
        <v>19</v>
      </c>
      <c r="F36" s="5">
        <v>35</v>
      </c>
      <c r="G36" s="3">
        <v>10</v>
      </c>
      <c r="H36" s="3">
        <v>0</v>
      </c>
      <c r="I36" s="3">
        <v>53.846153846153847</v>
      </c>
      <c r="J36" s="5">
        <v>35</v>
      </c>
      <c r="K36" s="5">
        <v>16</v>
      </c>
      <c r="L36" s="5">
        <v>15</v>
      </c>
      <c r="M36" s="5">
        <v>9</v>
      </c>
      <c r="N36" s="5">
        <v>28</v>
      </c>
      <c r="O36" s="5">
        <v>60</v>
      </c>
      <c r="P36" s="5">
        <v>4</v>
      </c>
      <c r="Q36" s="5">
        <v>3</v>
      </c>
      <c r="R36" s="3">
        <v>-37</v>
      </c>
      <c r="S36" s="3">
        <v>-151</v>
      </c>
      <c r="T36" s="5">
        <v>46</v>
      </c>
      <c r="U36" s="5">
        <v>23</v>
      </c>
      <c r="V36" s="5">
        <v>16</v>
      </c>
      <c r="W36" s="5">
        <v>22</v>
      </c>
      <c r="X36" s="5" t="s">
        <v>0</v>
      </c>
      <c r="Y36" s="5" t="s">
        <v>0</v>
      </c>
      <c r="Z36" s="5">
        <v>18</v>
      </c>
      <c r="AA36" s="5">
        <v>21</v>
      </c>
      <c r="AB36" s="5">
        <v>43</v>
      </c>
      <c r="AC36" s="5">
        <v>39</v>
      </c>
      <c r="AD36" s="5">
        <v>190</v>
      </c>
      <c r="AE36" s="5">
        <v>54</v>
      </c>
    </row>
    <row r="37" spans="1:31" x14ac:dyDescent="0.2">
      <c r="A37" s="5">
        <v>13196</v>
      </c>
      <c r="B37" s="1" t="s">
        <v>2</v>
      </c>
      <c r="C37" s="5">
        <v>25</v>
      </c>
      <c r="D37" s="5">
        <v>24</v>
      </c>
      <c r="E37" s="5">
        <v>14</v>
      </c>
      <c r="F37" s="5">
        <v>36</v>
      </c>
      <c r="G37" s="3">
        <v>34</v>
      </c>
      <c r="H37" s="3">
        <v>30</v>
      </c>
      <c r="I37" s="3">
        <v>66.666666666666657</v>
      </c>
      <c r="J37" s="5">
        <v>40</v>
      </c>
      <c r="K37" s="5">
        <v>12</v>
      </c>
      <c r="L37" s="5">
        <v>11</v>
      </c>
      <c r="M37" s="5">
        <v>10</v>
      </c>
      <c r="N37" s="5">
        <v>28</v>
      </c>
      <c r="O37" s="5">
        <v>53</v>
      </c>
      <c r="P37" s="5">
        <v>4</v>
      </c>
      <c r="Q37" s="5">
        <v>4</v>
      </c>
      <c r="R37" s="3">
        <v>-76</v>
      </c>
      <c r="S37" s="3">
        <v>-149</v>
      </c>
      <c r="T37" s="5">
        <v>51</v>
      </c>
      <c r="U37" s="5">
        <v>14</v>
      </c>
      <c r="V37" s="5">
        <v>20</v>
      </c>
      <c r="W37" s="5">
        <v>22</v>
      </c>
      <c r="X37" s="5">
        <v>31</v>
      </c>
      <c r="Y37" s="5">
        <v>27</v>
      </c>
      <c r="Z37" s="5">
        <v>30</v>
      </c>
      <c r="AA37" s="5">
        <v>35</v>
      </c>
      <c r="AB37" s="5">
        <v>54</v>
      </c>
      <c r="AC37" s="5" t="s">
        <v>0</v>
      </c>
      <c r="AD37" s="5">
        <v>206</v>
      </c>
      <c r="AE37" s="5">
        <v>54</v>
      </c>
    </row>
    <row r="38" spans="1:31" x14ac:dyDescent="0.2">
      <c r="A38" s="5">
        <v>13074</v>
      </c>
      <c r="B38" s="1" t="s">
        <v>2</v>
      </c>
      <c r="C38" s="5">
        <v>26</v>
      </c>
      <c r="D38" s="5">
        <v>32</v>
      </c>
      <c r="E38" s="5">
        <v>14</v>
      </c>
      <c r="F38" s="5">
        <v>36</v>
      </c>
      <c r="G38" s="3">
        <v>50</v>
      </c>
      <c r="H38" s="3">
        <v>48</v>
      </c>
      <c r="I38" s="3">
        <v>58.974358974358978</v>
      </c>
      <c r="J38" s="5">
        <v>41</v>
      </c>
      <c r="K38" s="5">
        <v>16</v>
      </c>
      <c r="L38" s="5">
        <v>14</v>
      </c>
      <c r="M38" s="5">
        <v>9</v>
      </c>
      <c r="N38" s="5">
        <v>20</v>
      </c>
      <c r="O38" s="5">
        <v>59</v>
      </c>
      <c r="P38" s="5">
        <v>7</v>
      </c>
      <c r="Q38" s="5">
        <v>4</v>
      </c>
      <c r="R38" s="3">
        <v>-48</v>
      </c>
      <c r="S38" s="3">
        <v>-75</v>
      </c>
      <c r="T38" s="5">
        <v>40</v>
      </c>
      <c r="U38" s="5">
        <v>28</v>
      </c>
      <c r="V38" s="5">
        <v>20</v>
      </c>
      <c r="W38" s="5">
        <v>22</v>
      </c>
      <c r="X38" s="5">
        <v>32</v>
      </c>
      <c r="Y38" s="5">
        <v>29</v>
      </c>
      <c r="Z38" s="5">
        <v>30</v>
      </c>
      <c r="AA38" s="5">
        <v>31</v>
      </c>
      <c r="AB38" s="5">
        <v>62</v>
      </c>
      <c r="AC38" s="5">
        <v>86</v>
      </c>
      <c r="AD38" s="5">
        <v>195</v>
      </c>
      <c r="AE38" s="5">
        <v>50</v>
      </c>
    </row>
    <row r="39" spans="1:31" x14ac:dyDescent="0.2">
      <c r="A39" s="5">
        <v>13156</v>
      </c>
      <c r="B39" s="1" t="s">
        <v>2</v>
      </c>
      <c r="C39" s="5">
        <v>7</v>
      </c>
      <c r="D39" s="5">
        <v>17</v>
      </c>
      <c r="E39" s="5">
        <v>4</v>
      </c>
      <c r="F39" s="5">
        <v>30</v>
      </c>
      <c r="G39" s="3">
        <v>22.641509433962266</v>
      </c>
      <c r="H39" s="3">
        <v>23.333333333333332</v>
      </c>
      <c r="I39" s="3">
        <v>52.173913043478258</v>
      </c>
      <c r="J39" s="5" t="s">
        <v>0</v>
      </c>
      <c r="K39" s="5">
        <v>5</v>
      </c>
      <c r="L39" s="5">
        <v>5</v>
      </c>
      <c r="M39" s="5">
        <v>3</v>
      </c>
      <c r="N39" s="5" t="s">
        <v>0</v>
      </c>
      <c r="O39" s="5">
        <v>33</v>
      </c>
      <c r="P39" s="5">
        <v>3</v>
      </c>
      <c r="Q39" s="5">
        <v>2</v>
      </c>
      <c r="R39" s="3">
        <v>-414</v>
      </c>
      <c r="S39" s="3" t="e">
        <v>#VALUE!</v>
      </c>
      <c r="T39" s="5">
        <v>31</v>
      </c>
      <c r="U39" s="5">
        <v>10</v>
      </c>
      <c r="V39" s="5">
        <v>17</v>
      </c>
      <c r="W39" s="5">
        <v>20</v>
      </c>
      <c r="X39" s="5" t="s">
        <v>0</v>
      </c>
      <c r="Y39" s="5">
        <v>10</v>
      </c>
      <c r="Z39" s="5">
        <v>21</v>
      </c>
      <c r="AA39" s="5" t="s">
        <v>0</v>
      </c>
      <c r="AB39" s="5">
        <v>53</v>
      </c>
      <c r="AC39" s="5">
        <v>58</v>
      </c>
      <c r="AD39" s="5">
        <v>189</v>
      </c>
      <c r="AE39" s="5">
        <v>38</v>
      </c>
    </row>
    <row r="40" spans="1:31" x14ac:dyDescent="0.2">
      <c r="A40" s="5">
        <v>2103</v>
      </c>
      <c r="B40" s="1" t="s">
        <v>3</v>
      </c>
      <c r="C40" s="5">
        <v>14</v>
      </c>
      <c r="D40" s="5">
        <v>16</v>
      </c>
      <c r="E40" s="5">
        <v>8</v>
      </c>
      <c r="F40" s="5">
        <v>32</v>
      </c>
      <c r="G40" s="3">
        <v>32.075471698113205</v>
      </c>
      <c r="H40" s="3">
        <v>3.3333333333333335</v>
      </c>
      <c r="I40" s="3">
        <v>56.521739130434781</v>
      </c>
      <c r="J40" s="5">
        <v>26</v>
      </c>
      <c r="K40" s="5">
        <v>1</v>
      </c>
      <c r="L40" s="5">
        <v>1</v>
      </c>
      <c r="M40" s="5">
        <v>1</v>
      </c>
      <c r="N40" s="5" t="s">
        <v>0</v>
      </c>
      <c r="O40" s="5">
        <v>54</v>
      </c>
      <c r="P40" s="5">
        <v>6</v>
      </c>
      <c r="Q40" s="5">
        <v>6</v>
      </c>
      <c r="R40" s="3">
        <v>-127</v>
      </c>
      <c r="S40" s="3">
        <v>-317</v>
      </c>
      <c r="T40" s="5">
        <v>46</v>
      </c>
      <c r="U40" s="5">
        <v>29</v>
      </c>
      <c r="V40" s="5">
        <v>19</v>
      </c>
      <c r="W40" s="5">
        <v>22</v>
      </c>
      <c r="X40" s="5">
        <v>31</v>
      </c>
      <c r="Y40" s="5">
        <v>28</v>
      </c>
      <c r="Z40" s="5">
        <v>29</v>
      </c>
      <c r="AA40" s="5">
        <v>27</v>
      </c>
      <c r="AB40" s="5">
        <v>62</v>
      </c>
      <c r="AC40" s="5">
        <v>88</v>
      </c>
      <c r="AD40" s="5">
        <v>198</v>
      </c>
      <c r="AE40" s="5">
        <v>50</v>
      </c>
    </row>
    <row r="41" spans="1:31" x14ac:dyDescent="0.2">
      <c r="A41" s="5">
        <v>7352</v>
      </c>
      <c r="B41" s="1" t="s">
        <v>3</v>
      </c>
      <c r="C41" s="5">
        <v>26</v>
      </c>
      <c r="D41" s="5">
        <v>32</v>
      </c>
      <c r="E41" s="5">
        <v>19</v>
      </c>
      <c r="F41" s="5">
        <v>33</v>
      </c>
      <c r="G41" s="3">
        <v>67.924528301886795</v>
      </c>
      <c r="H41" s="3">
        <v>50</v>
      </c>
      <c r="I41" s="3">
        <v>82.608695652173907</v>
      </c>
      <c r="J41" s="5">
        <v>39</v>
      </c>
      <c r="K41" s="5">
        <v>17</v>
      </c>
      <c r="L41" s="5">
        <v>16</v>
      </c>
      <c r="M41" s="5">
        <v>7</v>
      </c>
      <c r="N41" s="5">
        <v>30</v>
      </c>
      <c r="O41" s="5">
        <v>60</v>
      </c>
      <c r="P41" s="5">
        <v>8</v>
      </c>
      <c r="Q41" s="5">
        <v>6</v>
      </c>
      <c r="R41" s="3">
        <v>-36</v>
      </c>
      <c r="S41" s="3">
        <v>-73</v>
      </c>
      <c r="T41" s="5">
        <v>55</v>
      </c>
      <c r="U41" s="5">
        <v>43</v>
      </c>
      <c r="V41" s="5">
        <v>21</v>
      </c>
      <c r="W41" s="5">
        <v>22</v>
      </c>
      <c r="X41" s="5">
        <v>31</v>
      </c>
      <c r="Y41" s="5">
        <v>30</v>
      </c>
      <c r="Z41" s="5">
        <v>30</v>
      </c>
      <c r="AA41" s="5">
        <v>36</v>
      </c>
      <c r="AB41" s="5">
        <v>65</v>
      </c>
      <c r="AC41" s="5">
        <v>88</v>
      </c>
      <c r="AD41" s="5">
        <v>220</v>
      </c>
      <c r="AE41" s="5">
        <v>59</v>
      </c>
    </row>
    <row r="42" spans="1:31" x14ac:dyDescent="0.2">
      <c r="A42" s="5">
        <v>8961</v>
      </c>
      <c r="B42" s="1" t="s">
        <v>3</v>
      </c>
      <c r="C42" s="5">
        <v>25</v>
      </c>
      <c r="D42" s="5">
        <v>26</v>
      </c>
      <c r="E42" s="5">
        <v>15</v>
      </c>
      <c r="F42" s="5">
        <v>31</v>
      </c>
      <c r="G42" s="3">
        <v>54.716981132075468</v>
      </c>
      <c r="H42" s="3">
        <v>46.666666666666664</v>
      </c>
      <c r="I42" s="3">
        <v>65.217391304347828</v>
      </c>
      <c r="J42" s="5">
        <v>33</v>
      </c>
      <c r="K42" s="5">
        <v>4</v>
      </c>
      <c r="L42" s="5">
        <v>3</v>
      </c>
      <c r="M42" s="5">
        <v>6</v>
      </c>
      <c r="N42" s="5">
        <v>17</v>
      </c>
      <c r="O42" s="5">
        <v>48</v>
      </c>
      <c r="P42" s="5">
        <v>7</v>
      </c>
      <c r="Q42" s="5">
        <v>3</v>
      </c>
      <c r="R42" s="3">
        <v>-89</v>
      </c>
      <c r="S42" s="3">
        <v>-343</v>
      </c>
      <c r="T42" s="5">
        <v>45</v>
      </c>
      <c r="U42" s="5">
        <v>35</v>
      </c>
      <c r="V42" s="5">
        <v>18</v>
      </c>
      <c r="W42" s="5">
        <v>21</v>
      </c>
      <c r="X42" s="5">
        <v>32</v>
      </c>
      <c r="Y42" s="5">
        <v>18</v>
      </c>
      <c r="Z42" s="5">
        <v>30</v>
      </c>
      <c r="AA42" s="5">
        <v>24</v>
      </c>
      <c r="AB42" s="5">
        <v>62</v>
      </c>
      <c r="AC42" s="5">
        <v>71</v>
      </c>
      <c r="AD42" s="5">
        <v>192</v>
      </c>
      <c r="AE42" s="5">
        <v>44</v>
      </c>
    </row>
    <row r="43" spans="1:31" x14ac:dyDescent="0.2">
      <c r="A43" s="5">
        <v>11264</v>
      </c>
      <c r="B43" s="1" t="s">
        <v>3</v>
      </c>
      <c r="C43" s="5">
        <v>21</v>
      </c>
      <c r="D43" s="5">
        <v>23</v>
      </c>
      <c r="E43" s="5">
        <v>12</v>
      </c>
      <c r="F43" s="5">
        <v>32</v>
      </c>
      <c r="G43" s="3">
        <v>49.056603773584904</v>
      </c>
      <c r="H43" s="3">
        <v>13.333333333333334</v>
      </c>
      <c r="I43" s="3">
        <v>65.217391304347828</v>
      </c>
      <c r="J43" s="5">
        <v>31</v>
      </c>
      <c r="K43" s="5">
        <v>13</v>
      </c>
      <c r="L43" s="5">
        <v>14</v>
      </c>
      <c r="M43" s="5">
        <v>7</v>
      </c>
      <c r="N43" s="5">
        <v>17</v>
      </c>
      <c r="O43" s="5">
        <v>50</v>
      </c>
      <c r="P43" s="5">
        <v>5</v>
      </c>
      <c r="Q43" s="5">
        <v>3</v>
      </c>
      <c r="R43" s="3">
        <v>-61</v>
      </c>
      <c r="S43" s="3">
        <v>-316</v>
      </c>
      <c r="T43" s="5">
        <v>54</v>
      </c>
      <c r="U43" s="5">
        <v>38</v>
      </c>
      <c r="V43" s="5">
        <v>19</v>
      </c>
      <c r="W43" s="5">
        <v>22</v>
      </c>
      <c r="X43" s="5">
        <v>30</v>
      </c>
      <c r="Y43" s="5">
        <v>29</v>
      </c>
      <c r="Z43" s="5">
        <v>29</v>
      </c>
      <c r="AA43" s="5">
        <v>35</v>
      </c>
      <c r="AB43" s="5">
        <v>46</v>
      </c>
      <c r="AC43" s="5">
        <v>78</v>
      </c>
      <c r="AD43" s="5">
        <v>205</v>
      </c>
      <c r="AE43" s="5">
        <v>54</v>
      </c>
    </row>
    <row r="44" spans="1:31" x14ac:dyDescent="0.2">
      <c r="A44" s="5">
        <v>11634</v>
      </c>
      <c r="B44" s="1" t="s">
        <v>3</v>
      </c>
      <c r="C44" s="5">
        <v>23</v>
      </c>
      <c r="D44" s="5">
        <v>23</v>
      </c>
      <c r="E44" s="5">
        <v>2</v>
      </c>
      <c r="F44" s="5">
        <v>30</v>
      </c>
      <c r="G44" s="5" t="s">
        <v>0</v>
      </c>
      <c r="H44" s="5" t="s">
        <v>0</v>
      </c>
      <c r="I44" s="5" t="s">
        <v>0</v>
      </c>
      <c r="J44" s="5">
        <v>35</v>
      </c>
      <c r="K44" s="5">
        <v>7</v>
      </c>
      <c r="L44" s="5">
        <v>0</v>
      </c>
      <c r="M44" s="5">
        <v>0</v>
      </c>
      <c r="N44" s="5">
        <v>26</v>
      </c>
      <c r="O44" s="5">
        <v>57</v>
      </c>
      <c r="P44" s="5">
        <v>6</v>
      </c>
      <c r="Q44" s="5">
        <v>4</v>
      </c>
      <c r="R44" s="3">
        <v>-58</v>
      </c>
      <c r="S44" s="3">
        <v>-123</v>
      </c>
      <c r="T44" s="5">
        <v>43</v>
      </c>
      <c r="U44" s="5">
        <v>28</v>
      </c>
      <c r="V44" s="5">
        <v>22</v>
      </c>
      <c r="W44" s="5">
        <v>22</v>
      </c>
      <c r="X44" s="5">
        <v>32</v>
      </c>
      <c r="Y44" s="5">
        <v>30</v>
      </c>
      <c r="Z44" s="5">
        <v>30</v>
      </c>
      <c r="AA44" s="5">
        <v>37</v>
      </c>
      <c r="AB44" s="5">
        <v>62</v>
      </c>
      <c r="AC44" s="5">
        <v>87</v>
      </c>
      <c r="AD44" s="5">
        <v>208</v>
      </c>
      <c r="AE44" s="5">
        <v>56</v>
      </c>
    </row>
    <row r="45" spans="1:31" x14ac:dyDescent="0.2">
      <c r="A45" s="5">
        <v>12257</v>
      </c>
      <c r="B45" s="1" t="s">
        <v>3</v>
      </c>
      <c r="C45" s="5">
        <v>18</v>
      </c>
      <c r="D45" s="5">
        <v>15</v>
      </c>
      <c r="E45" s="5">
        <v>1</v>
      </c>
      <c r="F45" s="5">
        <v>19</v>
      </c>
      <c r="G45" s="3">
        <v>33.962264150943398</v>
      </c>
      <c r="H45" s="5" t="s">
        <v>0</v>
      </c>
      <c r="I45" s="3">
        <v>39.130434782608695</v>
      </c>
      <c r="J45" s="5">
        <v>36</v>
      </c>
      <c r="K45" s="5">
        <v>1</v>
      </c>
      <c r="L45" s="5" t="s">
        <v>0</v>
      </c>
      <c r="M45" s="5">
        <v>1</v>
      </c>
      <c r="N45" s="5">
        <v>18</v>
      </c>
      <c r="O45" s="5">
        <v>59</v>
      </c>
      <c r="P45" s="5">
        <v>5</v>
      </c>
      <c r="Q45" s="5">
        <v>5</v>
      </c>
      <c r="R45" s="3">
        <v>-76</v>
      </c>
      <c r="S45" s="3">
        <v>-114</v>
      </c>
      <c r="T45" s="5">
        <v>50</v>
      </c>
      <c r="U45" s="5">
        <v>22</v>
      </c>
      <c r="V45" s="5">
        <v>22</v>
      </c>
      <c r="W45" s="5">
        <v>22</v>
      </c>
      <c r="X45" s="5">
        <v>29</v>
      </c>
      <c r="Y45" s="5">
        <v>30</v>
      </c>
      <c r="Z45" s="5">
        <v>30</v>
      </c>
      <c r="AA45" s="5">
        <v>34</v>
      </c>
      <c r="AB45" s="5">
        <v>65</v>
      </c>
      <c r="AC45" s="5">
        <v>86</v>
      </c>
      <c r="AD45" s="5">
        <v>206</v>
      </c>
      <c r="AE45" s="5">
        <v>52</v>
      </c>
    </row>
    <row r="46" spans="1:31" x14ac:dyDescent="0.2">
      <c r="A46" s="5">
        <v>12813</v>
      </c>
      <c r="B46" s="1" t="s">
        <v>3</v>
      </c>
      <c r="C46" s="5">
        <v>24</v>
      </c>
      <c r="D46" s="5">
        <v>19</v>
      </c>
      <c r="E46" s="5">
        <v>14</v>
      </c>
      <c r="F46" s="5">
        <v>34</v>
      </c>
      <c r="G46" s="3">
        <v>44</v>
      </c>
      <c r="H46" s="3">
        <v>42</v>
      </c>
      <c r="I46" s="3">
        <v>69.230769230769226</v>
      </c>
      <c r="J46" s="5">
        <v>40</v>
      </c>
      <c r="K46" s="5">
        <v>49</v>
      </c>
      <c r="L46" s="5">
        <v>19</v>
      </c>
      <c r="M46" s="5">
        <v>9</v>
      </c>
      <c r="N46" s="5">
        <v>22</v>
      </c>
      <c r="O46" s="5">
        <v>60</v>
      </c>
      <c r="P46" s="5">
        <v>8</v>
      </c>
      <c r="Q46" s="5">
        <v>4</v>
      </c>
      <c r="R46" s="3">
        <v>-52</v>
      </c>
      <c r="S46" s="3">
        <v>-84</v>
      </c>
      <c r="T46" s="5">
        <v>54</v>
      </c>
      <c r="U46" s="5">
        <v>41</v>
      </c>
      <c r="V46" s="5">
        <v>22</v>
      </c>
      <c r="W46" s="5">
        <v>22</v>
      </c>
      <c r="X46" s="5">
        <v>32</v>
      </c>
      <c r="Y46" s="5">
        <v>30</v>
      </c>
      <c r="Z46" s="5">
        <v>30</v>
      </c>
      <c r="AA46" s="5">
        <v>34</v>
      </c>
      <c r="AB46" s="5">
        <v>61</v>
      </c>
      <c r="AC46" s="5">
        <v>88</v>
      </c>
      <c r="AD46" s="5">
        <v>213</v>
      </c>
      <c r="AE46" s="5">
        <v>54</v>
      </c>
    </row>
    <row r="47" spans="1:31" x14ac:dyDescent="0.2">
      <c r="A47" s="5">
        <v>11633</v>
      </c>
      <c r="B47" s="1" t="s">
        <v>3</v>
      </c>
      <c r="C47" s="5">
        <v>24</v>
      </c>
      <c r="D47" s="5">
        <v>23</v>
      </c>
      <c r="E47" s="5">
        <v>1</v>
      </c>
      <c r="F47" s="5">
        <v>18</v>
      </c>
      <c r="G47" s="3">
        <v>56.60377358490566</v>
      </c>
      <c r="H47" s="3">
        <v>0</v>
      </c>
      <c r="I47" s="3">
        <v>56.521739130434781</v>
      </c>
      <c r="J47" s="5">
        <v>34</v>
      </c>
      <c r="K47" s="5">
        <v>1</v>
      </c>
      <c r="L47" s="5">
        <v>0</v>
      </c>
      <c r="M47" s="5">
        <v>2</v>
      </c>
      <c r="N47" s="5" t="s">
        <v>0</v>
      </c>
      <c r="O47" s="5">
        <v>57</v>
      </c>
      <c r="P47" s="5">
        <v>8</v>
      </c>
      <c r="Q47" s="5">
        <v>5</v>
      </c>
      <c r="R47" s="3">
        <v>-82</v>
      </c>
      <c r="S47" s="3">
        <v>-128</v>
      </c>
      <c r="T47" s="5">
        <v>47</v>
      </c>
      <c r="U47" s="5">
        <v>37</v>
      </c>
      <c r="V47" s="5">
        <v>22</v>
      </c>
      <c r="W47" s="5">
        <v>21</v>
      </c>
      <c r="X47" s="5">
        <v>28</v>
      </c>
      <c r="Y47" s="5">
        <v>30</v>
      </c>
      <c r="Z47" s="5">
        <v>30</v>
      </c>
      <c r="AA47" s="5">
        <v>18</v>
      </c>
      <c r="AB47" s="5">
        <v>64</v>
      </c>
      <c r="AC47" s="5">
        <v>88</v>
      </c>
      <c r="AD47" s="5">
        <v>209</v>
      </c>
      <c r="AE47" s="5">
        <v>51</v>
      </c>
    </row>
    <row r="48" spans="1:31" x14ac:dyDescent="0.2">
      <c r="A48" s="5">
        <v>13442</v>
      </c>
      <c r="B48" s="1" t="s">
        <v>3</v>
      </c>
      <c r="C48" s="5">
        <v>24</v>
      </c>
      <c r="D48" s="5">
        <v>25</v>
      </c>
      <c r="E48" s="5">
        <v>10</v>
      </c>
      <c r="F48" s="5">
        <v>4</v>
      </c>
      <c r="G48" s="3">
        <v>38</v>
      </c>
      <c r="H48" s="3">
        <v>8</v>
      </c>
      <c r="I48" s="3">
        <v>43.589743589743591</v>
      </c>
      <c r="J48" s="5">
        <v>39</v>
      </c>
      <c r="K48" s="5">
        <v>1</v>
      </c>
      <c r="L48" s="5">
        <v>5</v>
      </c>
      <c r="M48" s="5">
        <v>5</v>
      </c>
      <c r="N48" s="5">
        <v>15</v>
      </c>
      <c r="O48" s="5">
        <v>60</v>
      </c>
      <c r="P48" s="5">
        <v>8</v>
      </c>
      <c r="Q48" s="5">
        <v>4</v>
      </c>
      <c r="R48" s="3">
        <v>-51</v>
      </c>
      <c r="S48" s="3">
        <v>-165</v>
      </c>
      <c r="T48" s="5">
        <v>52</v>
      </c>
      <c r="U48" s="5">
        <v>27</v>
      </c>
      <c r="V48" s="5">
        <v>22</v>
      </c>
      <c r="W48" s="5">
        <v>22</v>
      </c>
      <c r="X48" s="5">
        <v>29</v>
      </c>
      <c r="Y48" s="5">
        <v>30</v>
      </c>
      <c r="Z48" s="5">
        <v>30</v>
      </c>
      <c r="AA48" s="5">
        <v>37</v>
      </c>
      <c r="AB48" s="5">
        <v>65</v>
      </c>
      <c r="AC48" s="5">
        <v>88</v>
      </c>
      <c r="AD48" s="5">
        <v>213</v>
      </c>
      <c r="AE48" s="5">
        <v>55</v>
      </c>
    </row>
    <row r="49" spans="1:31" x14ac:dyDescent="0.2">
      <c r="A49" s="5">
        <v>13773</v>
      </c>
      <c r="B49" s="1" t="s">
        <v>3</v>
      </c>
      <c r="C49" s="5">
        <v>20</v>
      </c>
      <c r="D49" s="5">
        <v>19</v>
      </c>
      <c r="E49" s="5">
        <v>0</v>
      </c>
      <c r="F49" s="5">
        <v>20</v>
      </c>
      <c r="G49" s="3">
        <v>26.415094339622641</v>
      </c>
      <c r="H49" s="3">
        <v>0</v>
      </c>
      <c r="I49" s="3">
        <v>43.478260869565219</v>
      </c>
      <c r="J49" s="5">
        <v>38</v>
      </c>
      <c r="K49" s="5">
        <v>2</v>
      </c>
      <c r="L49" s="5">
        <v>0</v>
      </c>
      <c r="M49" s="5">
        <v>2</v>
      </c>
      <c r="N49" s="5">
        <v>20</v>
      </c>
      <c r="O49" s="5">
        <v>58</v>
      </c>
      <c r="P49" s="5">
        <v>7</v>
      </c>
      <c r="Q49" s="5">
        <v>4</v>
      </c>
      <c r="R49" s="3">
        <v>-39</v>
      </c>
      <c r="S49" s="3">
        <v>-133</v>
      </c>
      <c r="T49" s="5">
        <v>51</v>
      </c>
      <c r="U49" s="5">
        <v>52</v>
      </c>
      <c r="V49" s="5">
        <v>22</v>
      </c>
      <c r="W49" s="5">
        <v>22</v>
      </c>
      <c r="X49" s="5">
        <v>28</v>
      </c>
      <c r="Y49" s="5">
        <v>28</v>
      </c>
      <c r="Z49" s="5">
        <v>29</v>
      </c>
      <c r="AA49" s="5">
        <v>39</v>
      </c>
      <c r="AB49" s="5">
        <v>43</v>
      </c>
      <c r="AC49" s="5">
        <v>88</v>
      </c>
      <c r="AD49" s="5">
        <v>218</v>
      </c>
      <c r="AE49" s="5">
        <v>43</v>
      </c>
    </row>
    <row r="53" spans="1:31" x14ac:dyDescent="0.2">
      <c r="A53" s="5">
        <v>13188</v>
      </c>
      <c r="B53" s="1" t="s">
        <v>2</v>
      </c>
      <c r="C53" s="5">
        <v>23</v>
      </c>
      <c r="D53" s="5">
        <v>25</v>
      </c>
      <c r="E53" s="5">
        <v>16</v>
      </c>
      <c r="F53" s="5">
        <v>35</v>
      </c>
      <c r="G53" s="3">
        <v>24.528301886792452</v>
      </c>
      <c r="H53" s="3">
        <v>43.333333333333336</v>
      </c>
      <c r="I53" s="3">
        <v>69.565217391304344</v>
      </c>
      <c r="J53" s="5">
        <v>24</v>
      </c>
      <c r="K53" s="5">
        <v>17</v>
      </c>
      <c r="L53" s="5">
        <v>19</v>
      </c>
      <c r="M53" s="5">
        <v>8</v>
      </c>
      <c r="N53" s="5">
        <v>26</v>
      </c>
      <c r="O53" s="5">
        <v>59</v>
      </c>
      <c r="P53" s="5">
        <v>5</v>
      </c>
      <c r="Q53" s="5">
        <v>3</v>
      </c>
      <c r="R53" s="3">
        <v>-57</v>
      </c>
      <c r="S53" s="3">
        <v>-135</v>
      </c>
      <c r="T53" s="5">
        <v>39</v>
      </c>
      <c r="U53" s="5">
        <v>6</v>
      </c>
      <c r="V53" s="5">
        <v>14</v>
      </c>
      <c r="W53" s="5">
        <v>22</v>
      </c>
      <c r="X53" s="5">
        <v>29</v>
      </c>
      <c r="Y53" s="5">
        <v>22</v>
      </c>
      <c r="Z53" s="5">
        <v>25</v>
      </c>
      <c r="AA53" s="5">
        <v>28</v>
      </c>
      <c r="AB53" s="5">
        <v>55</v>
      </c>
      <c r="AC53" s="5">
        <v>81</v>
      </c>
      <c r="AD53" s="5">
        <v>201</v>
      </c>
      <c r="AE53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topLeftCell="A4" workbookViewId="0">
      <selection activeCell="E32" sqref="E32"/>
    </sheetView>
  </sheetViews>
  <sheetFormatPr baseColWidth="10" defaultColWidth="8.83203125" defaultRowHeight="15" x14ac:dyDescent="0.2"/>
  <sheetData>
    <row r="1" spans="1:31" s="5" customFormat="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s="5" customFormat="1" x14ac:dyDescent="0.2">
      <c r="A2" s="3">
        <v>1144</v>
      </c>
      <c r="B2" s="3" t="s">
        <v>1</v>
      </c>
      <c r="C2" s="3">
        <v>26</v>
      </c>
      <c r="D2" s="3">
        <v>35</v>
      </c>
      <c r="E2" s="3">
        <v>24</v>
      </c>
      <c r="F2" s="3">
        <v>36</v>
      </c>
      <c r="G2" s="3">
        <v>57.999999999999993</v>
      </c>
      <c r="H2" s="3">
        <v>48</v>
      </c>
      <c r="I2" s="3">
        <v>64.102564102564102</v>
      </c>
      <c r="J2" s="3">
        <v>48</v>
      </c>
      <c r="K2" s="3">
        <v>20</v>
      </c>
      <c r="L2" s="3">
        <v>20</v>
      </c>
      <c r="M2" s="3">
        <v>10</v>
      </c>
      <c r="N2" s="3">
        <v>28</v>
      </c>
      <c r="O2" s="3">
        <v>60</v>
      </c>
      <c r="P2" s="3">
        <v>7</v>
      </c>
      <c r="Q2" s="3">
        <v>4</v>
      </c>
      <c r="R2" s="3">
        <v>-41</v>
      </c>
      <c r="S2" s="3">
        <v>-112</v>
      </c>
      <c r="T2" s="3">
        <v>49</v>
      </c>
      <c r="U2" s="3">
        <v>26</v>
      </c>
      <c r="V2" s="3">
        <v>22</v>
      </c>
      <c r="W2" s="3">
        <v>22</v>
      </c>
      <c r="X2" s="3">
        <v>32</v>
      </c>
      <c r="Y2" s="3">
        <v>30</v>
      </c>
      <c r="Z2" s="3">
        <v>30</v>
      </c>
      <c r="AA2" s="3">
        <v>40</v>
      </c>
      <c r="AB2" s="3">
        <v>65</v>
      </c>
      <c r="AC2" s="3">
        <v>88</v>
      </c>
      <c r="AD2" s="3">
        <v>201</v>
      </c>
      <c r="AE2" s="3">
        <v>53</v>
      </c>
    </row>
    <row r="3" spans="1:31" s="5" customFormat="1" x14ac:dyDescent="0.2">
      <c r="A3" s="3">
        <v>2571</v>
      </c>
      <c r="B3" s="3" t="s">
        <v>1</v>
      </c>
      <c r="C3" s="3">
        <v>27</v>
      </c>
      <c r="D3" s="3">
        <v>32</v>
      </c>
      <c r="E3" s="3">
        <v>15</v>
      </c>
      <c r="F3" s="3">
        <v>36</v>
      </c>
      <c r="G3" s="3">
        <v>75.471698113207552</v>
      </c>
      <c r="H3" s="3">
        <v>70</v>
      </c>
      <c r="I3" s="3">
        <v>86.956521739130437</v>
      </c>
      <c r="J3" s="3">
        <v>32</v>
      </c>
      <c r="K3" s="3">
        <v>19</v>
      </c>
      <c r="L3" s="3">
        <v>17</v>
      </c>
      <c r="M3" s="3">
        <v>10</v>
      </c>
      <c r="N3" s="3">
        <v>29</v>
      </c>
      <c r="O3" s="3">
        <v>58</v>
      </c>
      <c r="P3" s="3">
        <v>9</v>
      </c>
      <c r="Q3" s="3">
        <v>7</v>
      </c>
      <c r="R3" s="3">
        <v>-34</v>
      </c>
      <c r="S3" s="3">
        <v>-42</v>
      </c>
      <c r="T3" s="3">
        <v>60</v>
      </c>
      <c r="U3" s="3">
        <v>57</v>
      </c>
      <c r="V3" s="3">
        <v>21</v>
      </c>
      <c r="W3" s="3">
        <v>22</v>
      </c>
      <c r="X3" s="3">
        <v>30</v>
      </c>
      <c r="Y3" s="3">
        <v>30</v>
      </c>
      <c r="Z3" s="3">
        <v>30</v>
      </c>
      <c r="AA3" s="3">
        <v>38</v>
      </c>
      <c r="AB3" s="3">
        <v>64</v>
      </c>
      <c r="AC3" s="3">
        <v>88</v>
      </c>
      <c r="AD3" s="3">
        <v>218</v>
      </c>
      <c r="AE3" s="3">
        <v>61</v>
      </c>
    </row>
    <row r="4" spans="1:31" s="5" customFormat="1" x14ac:dyDescent="0.2">
      <c r="A4" s="3">
        <v>5015</v>
      </c>
      <c r="B4" s="3" t="s">
        <v>1</v>
      </c>
      <c r="C4" s="3">
        <v>23</v>
      </c>
      <c r="D4" s="3">
        <v>12</v>
      </c>
      <c r="E4" s="3">
        <v>16</v>
      </c>
      <c r="F4" s="3">
        <v>35</v>
      </c>
      <c r="G4" s="3">
        <v>26.415094339622641</v>
      </c>
      <c r="H4" s="3">
        <v>30</v>
      </c>
      <c r="I4" s="3">
        <v>69.565217391304344</v>
      </c>
      <c r="J4" s="3">
        <v>44</v>
      </c>
      <c r="K4" s="3">
        <v>18</v>
      </c>
      <c r="L4" s="3">
        <v>18</v>
      </c>
      <c r="M4" s="3">
        <v>8</v>
      </c>
      <c r="N4" s="3">
        <v>30</v>
      </c>
      <c r="O4" s="3">
        <v>58</v>
      </c>
      <c r="P4" s="3">
        <v>6</v>
      </c>
      <c r="Q4" s="3">
        <v>5</v>
      </c>
      <c r="R4" s="3">
        <v>-91</v>
      </c>
      <c r="S4" s="3">
        <v>-231</v>
      </c>
      <c r="T4" s="3">
        <v>58</v>
      </c>
      <c r="U4" s="3">
        <v>23</v>
      </c>
      <c r="V4" s="3">
        <v>18</v>
      </c>
      <c r="W4" s="3">
        <v>22</v>
      </c>
      <c r="X4" s="3">
        <v>31</v>
      </c>
      <c r="Y4" s="3">
        <v>30</v>
      </c>
      <c r="Z4" s="3">
        <v>30</v>
      </c>
      <c r="AA4" s="3">
        <v>38</v>
      </c>
      <c r="AB4" s="3">
        <v>65</v>
      </c>
      <c r="AC4" s="3">
        <v>88</v>
      </c>
      <c r="AD4" s="3">
        <v>220</v>
      </c>
      <c r="AE4" s="3">
        <v>55</v>
      </c>
    </row>
    <row r="5" spans="1:31" s="5" customFormat="1" x14ac:dyDescent="0.2">
      <c r="A5" s="3">
        <v>5228</v>
      </c>
      <c r="B5" s="3" t="s">
        <v>1</v>
      </c>
      <c r="C5" s="3">
        <v>25</v>
      </c>
      <c r="D5" s="3">
        <v>22</v>
      </c>
      <c r="E5" s="3">
        <v>16</v>
      </c>
      <c r="F5" s="3">
        <v>35</v>
      </c>
      <c r="G5" s="3">
        <v>69.811320754716974</v>
      </c>
      <c r="H5" s="3">
        <v>76.666666666666671</v>
      </c>
      <c r="I5" s="3">
        <v>86.956521739130437</v>
      </c>
      <c r="J5" s="3">
        <v>40</v>
      </c>
      <c r="K5" s="3">
        <v>13</v>
      </c>
      <c r="L5" s="3">
        <v>13</v>
      </c>
      <c r="M5" s="3">
        <v>5</v>
      </c>
      <c r="N5" s="3">
        <v>30</v>
      </c>
      <c r="O5" s="3">
        <v>60</v>
      </c>
      <c r="P5" s="3">
        <v>5</v>
      </c>
      <c r="Q5" s="3">
        <v>5</v>
      </c>
      <c r="R5" s="3">
        <v>-38</v>
      </c>
      <c r="S5" s="3">
        <v>-120</v>
      </c>
      <c r="T5" s="3">
        <v>60</v>
      </c>
      <c r="U5" s="3">
        <v>35</v>
      </c>
      <c r="V5" s="3">
        <v>21</v>
      </c>
      <c r="W5" s="3">
        <v>22</v>
      </c>
      <c r="X5" s="3">
        <v>31</v>
      </c>
      <c r="Y5" s="3">
        <v>30</v>
      </c>
      <c r="Z5" s="3">
        <v>30</v>
      </c>
      <c r="AA5" s="3">
        <v>38</v>
      </c>
      <c r="AB5" s="3">
        <v>62</v>
      </c>
      <c r="AC5" s="3">
        <v>88</v>
      </c>
      <c r="AD5" s="3">
        <v>222</v>
      </c>
      <c r="AE5" s="3">
        <v>55</v>
      </c>
    </row>
    <row r="6" spans="1:31" s="5" customFormat="1" x14ac:dyDescent="0.2">
      <c r="A6" s="3">
        <v>6819</v>
      </c>
      <c r="B6" s="3" t="s">
        <v>1</v>
      </c>
      <c r="C6" s="3">
        <v>30</v>
      </c>
      <c r="D6" s="3">
        <v>31</v>
      </c>
      <c r="E6" s="3">
        <v>13</v>
      </c>
      <c r="F6" s="3">
        <v>35</v>
      </c>
      <c r="G6" s="3">
        <v>49.056603773584904</v>
      </c>
      <c r="H6" s="3">
        <v>23.333333333333332</v>
      </c>
      <c r="I6" s="3">
        <v>73.91304347826086</v>
      </c>
      <c r="J6" s="3">
        <v>33</v>
      </c>
      <c r="K6" s="3">
        <v>17</v>
      </c>
      <c r="L6" s="3">
        <v>17</v>
      </c>
      <c r="M6" s="3">
        <v>9</v>
      </c>
      <c r="N6" s="3">
        <v>23</v>
      </c>
      <c r="O6" s="3">
        <v>59</v>
      </c>
      <c r="P6" s="3">
        <v>7</v>
      </c>
      <c r="Q6" s="3">
        <v>5</v>
      </c>
      <c r="R6" s="3">
        <v>-42</v>
      </c>
      <c r="S6" s="3">
        <v>-77</v>
      </c>
      <c r="T6" s="3">
        <v>58</v>
      </c>
      <c r="U6" s="3">
        <v>61</v>
      </c>
      <c r="V6" s="3">
        <v>22</v>
      </c>
      <c r="W6" s="3">
        <v>22</v>
      </c>
      <c r="X6" s="3">
        <v>32</v>
      </c>
      <c r="Y6" s="3">
        <v>30</v>
      </c>
      <c r="Z6" s="3">
        <v>28</v>
      </c>
      <c r="AA6" s="3">
        <v>36</v>
      </c>
      <c r="AB6" s="3">
        <v>61</v>
      </c>
      <c r="AC6" s="3">
        <v>88</v>
      </c>
      <c r="AD6" s="3">
        <v>215</v>
      </c>
      <c r="AE6" s="3">
        <v>56</v>
      </c>
    </row>
    <row r="7" spans="1:31" s="5" customFormat="1" x14ac:dyDescent="0.2">
      <c r="A7" s="3">
        <v>7522</v>
      </c>
      <c r="B7" s="3" t="s">
        <v>1</v>
      </c>
      <c r="C7" s="3">
        <v>25</v>
      </c>
      <c r="D7" s="3">
        <v>34</v>
      </c>
      <c r="E7" s="3">
        <v>19</v>
      </c>
      <c r="F7" s="3">
        <v>36</v>
      </c>
      <c r="G7" s="3">
        <v>60.377358490566039</v>
      </c>
      <c r="H7" s="3">
        <v>66.666666666666657</v>
      </c>
      <c r="I7" s="3">
        <v>91.304347826086953</v>
      </c>
      <c r="J7" s="3">
        <v>40</v>
      </c>
      <c r="K7" s="3">
        <v>17</v>
      </c>
      <c r="L7" s="3">
        <v>15</v>
      </c>
      <c r="M7" s="3">
        <v>10</v>
      </c>
      <c r="N7" s="3">
        <v>29</v>
      </c>
      <c r="O7" s="3">
        <v>58</v>
      </c>
      <c r="P7" s="3">
        <v>5</v>
      </c>
      <c r="Q7" s="3">
        <v>4</v>
      </c>
      <c r="R7" s="3">
        <v>-90</v>
      </c>
      <c r="S7" s="3">
        <v>-108</v>
      </c>
      <c r="T7" s="3">
        <v>58</v>
      </c>
      <c r="U7" s="3">
        <v>62</v>
      </c>
      <c r="V7" s="3">
        <v>21</v>
      </c>
      <c r="W7" s="3">
        <v>22</v>
      </c>
      <c r="X7" s="3">
        <v>31</v>
      </c>
      <c r="Y7" s="3">
        <v>30</v>
      </c>
      <c r="Z7" s="3">
        <v>30</v>
      </c>
      <c r="AA7" s="3">
        <v>40</v>
      </c>
      <c r="AB7" s="3">
        <v>65</v>
      </c>
      <c r="AC7" s="3">
        <v>88</v>
      </c>
      <c r="AD7" s="3">
        <v>215</v>
      </c>
      <c r="AE7" s="3">
        <v>56</v>
      </c>
    </row>
    <row r="8" spans="1:31" s="5" customFormat="1" x14ac:dyDescent="0.2">
      <c r="A8" s="3">
        <v>7546</v>
      </c>
      <c r="B8" s="3" t="s">
        <v>1</v>
      </c>
      <c r="C8" s="3">
        <v>30</v>
      </c>
      <c r="D8" s="3">
        <v>44</v>
      </c>
      <c r="E8" s="3">
        <v>22</v>
      </c>
      <c r="F8" s="3">
        <v>36</v>
      </c>
      <c r="G8" s="3">
        <v>66</v>
      </c>
      <c r="H8" s="3">
        <v>62</v>
      </c>
      <c r="I8" s="3">
        <v>74.358974358974365</v>
      </c>
      <c r="J8" s="3">
        <v>49</v>
      </c>
      <c r="K8" s="3">
        <v>16</v>
      </c>
      <c r="L8" s="3">
        <v>16</v>
      </c>
      <c r="M8" s="3">
        <v>10</v>
      </c>
      <c r="N8" s="3">
        <v>28</v>
      </c>
      <c r="O8" s="3">
        <v>59</v>
      </c>
      <c r="P8" s="3">
        <v>9</v>
      </c>
      <c r="Q8" s="3">
        <v>8</v>
      </c>
      <c r="R8" s="3">
        <v>-29</v>
      </c>
      <c r="S8" s="3">
        <v>-46</v>
      </c>
      <c r="T8" s="3">
        <v>59</v>
      </c>
      <c r="U8" s="3">
        <v>89</v>
      </c>
      <c r="V8" s="3">
        <v>22</v>
      </c>
      <c r="W8" s="3">
        <v>22</v>
      </c>
      <c r="X8" s="3">
        <v>32</v>
      </c>
      <c r="Y8" s="3">
        <v>30</v>
      </c>
      <c r="Z8" s="3">
        <v>30</v>
      </c>
      <c r="AA8" s="3">
        <v>37</v>
      </c>
      <c r="AB8" s="3">
        <v>64</v>
      </c>
      <c r="AC8" s="3">
        <v>88</v>
      </c>
      <c r="AD8" s="3">
        <v>226</v>
      </c>
      <c r="AE8" s="3">
        <v>61</v>
      </c>
    </row>
    <row r="9" spans="1:31" s="5" customFormat="1" x14ac:dyDescent="0.2">
      <c r="A9" s="3">
        <v>7973</v>
      </c>
      <c r="B9" s="3" t="s">
        <v>1</v>
      </c>
      <c r="C9" s="3">
        <v>24</v>
      </c>
      <c r="D9" s="3">
        <v>34</v>
      </c>
      <c r="E9" s="3">
        <v>17</v>
      </c>
      <c r="F9" s="3">
        <v>36</v>
      </c>
      <c r="G9" s="3">
        <v>49.056603773584904</v>
      </c>
      <c r="H9" s="3">
        <v>66.666666666666657</v>
      </c>
      <c r="I9" s="3">
        <v>91.304347826086953</v>
      </c>
      <c r="J9" s="3">
        <v>42</v>
      </c>
      <c r="K9" s="3">
        <v>18</v>
      </c>
      <c r="L9" s="3">
        <v>15</v>
      </c>
      <c r="M9" s="3">
        <v>9</v>
      </c>
      <c r="N9" s="3">
        <v>16</v>
      </c>
      <c r="O9" s="3">
        <v>57</v>
      </c>
      <c r="P9" s="3">
        <v>5</v>
      </c>
      <c r="Q9" s="3">
        <v>3</v>
      </c>
      <c r="R9" s="3">
        <v>-35</v>
      </c>
      <c r="S9" s="3">
        <v>-127</v>
      </c>
      <c r="T9" s="3">
        <v>44</v>
      </c>
      <c r="U9" s="3">
        <v>29</v>
      </c>
      <c r="V9" s="3">
        <v>18</v>
      </c>
      <c r="W9" s="3">
        <v>22</v>
      </c>
      <c r="X9" s="3">
        <v>32</v>
      </c>
      <c r="Y9" s="3">
        <v>16</v>
      </c>
      <c r="Z9" s="3">
        <v>25</v>
      </c>
      <c r="AA9" s="3">
        <v>18</v>
      </c>
      <c r="AB9" s="3">
        <v>60</v>
      </c>
      <c r="AC9" s="3">
        <v>85</v>
      </c>
      <c r="AD9" s="3">
        <v>194</v>
      </c>
      <c r="AE9" s="3">
        <v>52</v>
      </c>
    </row>
    <row r="10" spans="1:31" s="5" customFormat="1" x14ac:dyDescent="0.2">
      <c r="A10" s="3">
        <v>8149</v>
      </c>
      <c r="B10" s="3" t="s">
        <v>1</v>
      </c>
      <c r="C10" s="3">
        <v>27</v>
      </c>
      <c r="D10" s="3">
        <v>27</v>
      </c>
      <c r="E10" s="3">
        <v>18</v>
      </c>
      <c r="F10" s="3">
        <v>34</v>
      </c>
      <c r="G10" s="3">
        <v>46</v>
      </c>
      <c r="H10" s="3">
        <v>36</v>
      </c>
      <c r="I10" s="3">
        <v>61.53846153846154</v>
      </c>
      <c r="J10" s="3">
        <v>43</v>
      </c>
      <c r="K10" s="3">
        <v>18</v>
      </c>
      <c r="L10" s="3">
        <v>18</v>
      </c>
      <c r="M10" s="3">
        <v>10</v>
      </c>
      <c r="N10" s="3">
        <v>23</v>
      </c>
      <c r="O10" s="3">
        <v>59</v>
      </c>
      <c r="P10" s="3">
        <v>6</v>
      </c>
      <c r="Q10" s="3">
        <v>5</v>
      </c>
      <c r="R10" s="3">
        <v>-54</v>
      </c>
      <c r="S10" s="3">
        <v>-95</v>
      </c>
      <c r="T10" s="3">
        <v>57</v>
      </c>
      <c r="U10" s="3">
        <v>56</v>
      </c>
      <c r="V10" s="3">
        <v>22</v>
      </c>
      <c r="W10" s="3">
        <v>21</v>
      </c>
      <c r="X10" s="3">
        <v>32</v>
      </c>
      <c r="Y10" s="3">
        <v>30</v>
      </c>
      <c r="Z10" s="3">
        <v>30</v>
      </c>
      <c r="AA10" s="3">
        <v>34</v>
      </c>
      <c r="AB10" s="3">
        <v>65</v>
      </c>
      <c r="AC10" s="3">
        <v>88</v>
      </c>
      <c r="AD10" s="3">
        <v>223</v>
      </c>
      <c r="AE10" s="3">
        <v>59</v>
      </c>
    </row>
    <row r="11" spans="1:31" s="5" customFormat="1" x14ac:dyDescent="0.2">
      <c r="A11" s="3">
        <v>10306</v>
      </c>
      <c r="B11" s="3" t="s">
        <v>1</v>
      </c>
      <c r="C11" s="3">
        <v>27</v>
      </c>
      <c r="D11" s="3">
        <v>27</v>
      </c>
      <c r="E11" s="3">
        <v>14</v>
      </c>
      <c r="F11" s="3">
        <v>35</v>
      </c>
      <c r="G11" s="3">
        <v>81.132075471698116</v>
      </c>
      <c r="H11" s="3">
        <v>103.33333333333334</v>
      </c>
      <c r="I11" s="3">
        <v>91.304347826086953</v>
      </c>
      <c r="J11" s="3">
        <v>47</v>
      </c>
      <c r="K11" s="3">
        <v>20</v>
      </c>
      <c r="L11" s="3">
        <v>19</v>
      </c>
      <c r="M11" s="3">
        <v>10</v>
      </c>
      <c r="N11" s="3">
        <v>30</v>
      </c>
      <c r="O11" s="3">
        <v>60</v>
      </c>
      <c r="P11" s="3">
        <v>7</v>
      </c>
      <c r="Q11" s="3">
        <v>4</v>
      </c>
      <c r="R11" s="3">
        <v>-32</v>
      </c>
      <c r="S11" s="3">
        <v>-76</v>
      </c>
      <c r="T11" s="3">
        <v>60</v>
      </c>
      <c r="U11" s="3">
        <v>61</v>
      </c>
      <c r="V11" s="3">
        <v>21</v>
      </c>
      <c r="W11" s="3">
        <v>22</v>
      </c>
      <c r="X11" s="3">
        <v>31</v>
      </c>
      <c r="Y11" s="3">
        <v>30</v>
      </c>
      <c r="Z11" s="3">
        <v>30</v>
      </c>
      <c r="AA11" s="3">
        <v>30</v>
      </c>
      <c r="AB11" s="3">
        <v>63</v>
      </c>
      <c r="AC11" s="3">
        <v>88</v>
      </c>
      <c r="AD11" s="3">
        <v>227</v>
      </c>
      <c r="AE11" s="3">
        <v>57</v>
      </c>
    </row>
    <row r="12" spans="1:31" s="5" customFormat="1" x14ac:dyDescent="0.2">
      <c r="A12" s="3">
        <v>10339</v>
      </c>
      <c r="B12" s="3" t="s">
        <v>1</v>
      </c>
      <c r="C12" s="3">
        <v>28</v>
      </c>
      <c r="D12" s="3">
        <v>35</v>
      </c>
      <c r="E12" s="3">
        <v>22</v>
      </c>
      <c r="F12" s="3">
        <v>36</v>
      </c>
      <c r="G12" s="3">
        <v>62.264150943396224</v>
      </c>
      <c r="H12" s="3">
        <v>43.333333333333336</v>
      </c>
      <c r="I12" s="3">
        <v>78.260869565217391</v>
      </c>
      <c r="J12" s="3">
        <v>45</v>
      </c>
      <c r="K12" s="3">
        <v>12</v>
      </c>
      <c r="L12" s="3">
        <v>11</v>
      </c>
      <c r="M12" s="3">
        <v>9</v>
      </c>
      <c r="N12" s="3">
        <v>24</v>
      </c>
      <c r="O12" s="3">
        <v>60</v>
      </c>
      <c r="P12" s="3">
        <v>9</v>
      </c>
      <c r="Q12" s="3">
        <v>8</v>
      </c>
      <c r="R12" s="3">
        <v>-32</v>
      </c>
      <c r="S12" s="3">
        <v>-75</v>
      </c>
      <c r="T12" s="3">
        <v>56</v>
      </c>
      <c r="U12" s="3">
        <v>75</v>
      </c>
      <c r="V12" s="3">
        <v>21</v>
      </c>
      <c r="W12" s="3">
        <v>22</v>
      </c>
      <c r="X12" s="3">
        <v>32</v>
      </c>
      <c r="Y12" s="3">
        <v>30</v>
      </c>
      <c r="Z12" s="3">
        <v>30</v>
      </c>
      <c r="AA12" s="3">
        <v>40</v>
      </c>
      <c r="AB12" s="3">
        <v>64</v>
      </c>
      <c r="AC12" s="3">
        <v>88</v>
      </c>
      <c r="AD12" s="3">
        <v>222</v>
      </c>
      <c r="AE12" s="3">
        <v>55</v>
      </c>
    </row>
    <row r="13" spans="1:31" s="5" customFormat="1" x14ac:dyDescent="0.2">
      <c r="A13" s="3">
        <v>10347</v>
      </c>
      <c r="B13" s="3" t="s">
        <v>1</v>
      </c>
      <c r="C13" s="3">
        <v>27</v>
      </c>
      <c r="D13" s="3">
        <v>32</v>
      </c>
      <c r="E13" s="3">
        <v>16</v>
      </c>
      <c r="F13" s="3">
        <v>36</v>
      </c>
      <c r="G13" s="3">
        <v>66.037735849056602</v>
      </c>
      <c r="H13" s="3">
        <v>43.333333333333336</v>
      </c>
      <c r="I13" s="3">
        <v>73.91304347826086</v>
      </c>
      <c r="J13" s="3">
        <v>41</v>
      </c>
      <c r="K13" s="3">
        <v>6</v>
      </c>
      <c r="L13" s="3">
        <v>6</v>
      </c>
      <c r="M13" s="3">
        <v>2</v>
      </c>
      <c r="N13" s="3">
        <v>29</v>
      </c>
      <c r="O13" s="3">
        <v>60</v>
      </c>
      <c r="P13" s="3">
        <v>8</v>
      </c>
      <c r="Q13" s="3">
        <v>6</v>
      </c>
      <c r="R13" s="3">
        <v>-41</v>
      </c>
      <c r="S13" s="3">
        <v>-59</v>
      </c>
      <c r="T13" s="3">
        <v>52</v>
      </c>
      <c r="U13" s="3">
        <v>74</v>
      </c>
      <c r="V13" s="3">
        <v>19</v>
      </c>
      <c r="W13" s="3">
        <v>22</v>
      </c>
      <c r="X13" s="3">
        <v>32</v>
      </c>
      <c r="Y13" s="3">
        <v>30</v>
      </c>
      <c r="Z13" s="3">
        <v>30</v>
      </c>
      <c r="AA13" s="3">
        <v>38</v>
      </c>
      <c r="AB13" s="3">
        <v>64</v>
      </c>
      <c r="AC13" s="3">
        <v>87</v>
      </c>
      <c r="AD13" s="3">
        <v>211</v>
      </c>
      <c r="AE13" s="3">
        <v>55</v>
      </c>
    </row>
    <row r="14" spans="1:31" s="5" customFormat="1" x14ac:dyDescent="0.2">
      <c r="A14" s="3">
        <v>10599</v>
      </c>
      <c r="B14" s="3" t="s">
        <v>1</v>
      </c>
      <c r="C14" s="3">
        <v>29</v>
      </c>
      <c r="D14" s="3">
        <v>37</v>
      </c>
      <c r="E14" s="3">
        <v>22</v>
      </c>
      <c r="F14" s="3">
        <v>36</v>
      </c>
      <c r="G14" s="3">
        <v>66</v>
      </c>
      <c r="H14" s="3">
        <v>57.999999999999993</v>
      </c>
      <c r="I14" s="3">
        <v>58.974358974358978</v>
      </c>
      <c r="J14" s="3">
        <v>47</v>
      </c>
      <c r="K14" s="3">
        <v>16</v>
      </c>
      <c r="L14" s="3">
        <v>16</v>
      </c>
      <c r="M14" s="3">
        <v>8</v>
      </c>
      <c r="N14" s="3">
        <v>25</v>
      </c>
      <c r="O14" s="3">
        <v>60</v>
      </c>
      <c r="P14" s="3">
        <v>8</v>
      </c>
      <c r="Q14" s="3">
        <v>8</v>
      </c>
      <c r="R14" s="3">
        <v>-34</v>
      </c>
      <c r="S14" s="3">
        <v>-77</v>
      </c>
      <c r="T14" s="3">
        <v>57</v>
      </c>
      <c r="U14" s="7" t="s">
        <v>0</v>
      </c>
      <c r="V14" s="3">
        <v>22</v>
      </c>
      <c r="W14" s="3">
        <v>22</v>
      </c>
      <c r="X14" s="3">
        <v>32</v>
      </c>
      <c r="Y14" s="3">
        <v>30</v>
      </c>
      <c r="Z14" s="3">
        <v>30</v>
      </c>
      <c r="AA14" s="3">
        <v>40</v>
      </c>
      <c r="AB14" s="3">
        <v>65</v>
      </c>
      <c r="AC14" s="3">
        <v>88</v>
      </c>
      <c r="AD14" s="3">
        <v>226</v>
      </c>
      <c r="AE14" s="3">
        <v>61</v>
      </c>
    </row>
    <row r="15" spans="1:31" s="5" customFormat="1" x14ac:dyDescent="0.2">
      <c r="A15" s="3">
        <v>10631</v>
      </c>
      <c r="B15" s="3" t="s">
        <v>1</v>
      </c>
      <c r="C15" s="3">
        <v>27</v>
      </c>
      <c r="D15" s="3">
        <v>27</v>
      </c>
      <c r="E15" s="3">
        <v>18</v>
      </c>
      <c r="F15" s="3">
        <v>36</v>
      </c>
      <c r="G15" s="3">
        <v>57.999999999999993</v>
      </c>
      <c r="H15" s="3">
        <v>50</v>
      </c>
      <c r="I15" s="3">
        <v>71.794871794871796</v>
      </c>
      <c r="J15" s="3">
        <v>40</v>
      </c>
      <c r="K15" s="3">
        <v>14</v>
      </c>
      <c r="L15" s="3">
        <v>15</v>
      </c>
      <c r="M15" s="3">
        <v>9</v>
      </c>
      <c r="N15" s="3">
        <v>30</v>
      </c>
      <c r="O15" s="3">
        <v>60</v>
      </c>
      <c r="P15" s="3">
        <v>6</v>
      </c>
      <c r="Q15" s="3">
        <v>5</v>
      </c>
      <c r="R15" s="3">
        <v>-28</v>
      </c>
      <c r="S15" s="3">
        <v>-57</v>
      </c>
      <c r="T15" s="3">
        <v>60</v>
      </c>
      <c r="U15" s="3">
        <v>47</v>
      </c>
      <c r="V15" s="3">
        <v>22</v>
      </c>
      <c r="W15" s="3">
        <v>22</v>
      </c>
      <c r="X15" s="3">
        <v>32</v>
      </c>
      <c r="Y15" s="3">
        <v>30</v>
      </c>
      <c r="Z15" s="3">
        <v>30</v>
      </c>
      <c r="AA15" s="3">
        <v>40</v>
      </c>
      <c r="AB15" s="3">
        <v>64</v>
      </c>
      <c r="AC15" s="3">
        <v>88</v>
      </c>
      <c r="AD15" s="3">
        <v>226</v>
      </c>
      <c r="AE15" s="3">
        <v>60</v>
      </c>
    </row>
    <row r="16" spans="1:31" s="5" customFormat="1" x14ac:dyDescent="0.2">
      <c r="A16" s="3">
        <v>10668</v>
      </c>
      <c r="B16" s="3" t="s">
        <v>1</v>
      </c>
      <c r="C16" s="3">
        <v>24</v>
      </c>
      <c r="D16" s="3">
        <v>23</v>
      </c>
      <c r="E16" s="3">
        <v>14</v>
      </c>
      <c r="F16" s="3">
        <v>36</v>
      </c>
      <c r="G16" s="3">
        <v>56.60377358490566</v>
      </c>
      <c r="H16" s="3">
        <v>66.666666666666657</v>
      </c>
      <c r="I16" s="3">
        <v>69.565217391304344</v>
      </c>
      <c r="J16" s="3">
        <v>37</v>
      </c>
      <c r="K16" s="3">
        <v>11</v>
      </c>
      <c r="L16" s="3">
        <v>11</v>
      </c>
      <c r="M16" s="3">
        <v>6</v>
      </c>
      <c r="N16" s="3">
        <v>30</v>
      </c>
      <c r="O16" s="3">
        <v>57</v>
      </c>
      <c r="P16" s="3">
        <v>5</v>
      </c>
      <c r="Q16" s="3">
        <v>4</v>
      </c>
      <c r="R16" s="3">
        <v>-50</v>
      </c>
      <c r="S16" s="3">
        <v>-115</v>
      </c>
      <c r="T16" s="3">
        <v>58</v>
      </c>
      <c r="U16" s="3">
        <v>41</v>
      </c>
      <c r="V16" s="3">
        <v>22</v>
      </c>
      <c r="W16" s="3">
        <v>22</v>
      </c>
      <c r="X16" s="3">
        <v>32</v>
      </c>
      <c r="Y16" s="3">
        <v>29</v>
      </c>
      <c r="Z16" s="3">
        <v>30</v>
      </c>
      <c r="AA16" s="3">
        <v>21</v>
      </c>
      <c r="AB16" s="3">
        <v>65</v>
      </c>
      <c r="AC16" s="3">
        <v>88</v>
      </c>
      <c r="AD16" s="3">
        <v>219</v>
      </c>
      <c r="AE16" s="3">
        <v>55</v>
      </c>
    </row>
    <row r="17" spans="1:31" s="5" customFormat="1" x14ac:dyDescent="0.2">
      <c r="A17" s="3">
        <v>11257</v>
      </c>
      <c r="B17" s="3" t="s">
        <v>1</v>
      </c>
      <c r="C17" s="3">
        <v>28</v>
      </c>
      <c r="D17" s="3">
        <v>34</v>
      </c>
      <c r="E17" s="3">
        <v>22</v>
      </c>
      <c r="F17" s="3">
        <v>35</v>
      </c>
      <c r="G17" s="3">
        <v>71.698113207547166</v>
      </c>
      <c r="H17" s="3">
        <v>86.666666666666671</v>
      </c>
      <c r="I17" s="3">
        <v>91.304347826086953</v>
      </c>
      <c r="J17" s="3">
        <v>42</v>
      </c>
      <c r="K17" s="3">
        <v>15</v>
      </c>
      <c r="L17" s="3">
        <v>17</v>
      </c>
      <c r="M17" s="3">
        <v>6</v>
      </c>
      <c r="N17" s="3">
        <v>27</v>
      </c>
      <c r="O17" s="3">
        <v>60</v>
      </c>
      <c r="P17" s="3">
        <v>6</v>
      </c>
      <c r="Q17" s="3">
        <v>5</v>
      </c>
      <c r="R17" s="3">
        <v>-36</v>
      </c>
      <c r="S17" s="3">
        <v>-60</v>
      </c>
      <c r="T17" s="3">
        <v>56</v>
      </c>
      <c r="U17" s="3">
        <v>37</v>
      </c>
      <c r="V17" s="3">
        <v>20</v>
      </c>
      <c r="W17" s="3">
        <v>22</v>
      </c>
      <c r="X17" s="3">
        <v>30</v>
      </c>
      <c r="Y17" s="3">
        <v>30</v>
      </c>
      <c r="Z17" s="3">
        <v>30</v>
      </c>
      <c r="AA17" s="3">
        <v>37</v>
      </c>
      <c r="AB17" s="3">
        <v>64</v>
      </c>
      <c r="AC17" s="3">
        <v>88</v>
      </c>
      <c r="AD17" s="3">
        <v>217</v>
      </c>
      <c r="AE17" s="3">
        <v>59</v>
      </c>
    </row>
    <row r="18" spans="1:31" s="5" customFormat="1" x14ac:dyDescent="0.2">
      <c r="A18" s="3">
        <v>11693</v>
      </c>
      <c r="B18" s="3" t="s">
        <v>1</v>
      </c>
      <c r="C18" s="3">
        <v>24</v>
      </c>
      <c r="D18" s="3">
        <v>27</v>
      </c>
      <c r="E18" s="3">
        <v>15</v>
      </c>
      <c r="F18" s="3">
        <v>36</v>
      </c>
      <c r="G18" s="3">
        <v>79.245283018867923</v>
      </c>
      <c r="H18" s="3">
        <v>90</v>
      </c>
      <c r="I18" s="3">
        <v>100</v>
      </c>
      <c r="J18" s="3">
        <v>45</v>
      </c>
      <c r="K18" s="3">
        <v>14</v>
      </c>
      <c r="L18" s="3">
        <v>10</v>
      </c>
      <c r="M18" s="3">
        <v>7</v>
      </c>
      <c r="N18" s="3">
        <v>28</v>
      </c>
      <c r="O18" s="3">
        <v>59</v>
      </c>
      <c r="P18" s="3">
        <v>6</v>
      </c>
      <c r="Q18" s="3">
        <v>4</v>
      </c>
      <c r="R18" s="3">
        <v>-41</v>
      </c>
      <c r="S18" s="3">
        <v>-88</v>
      </c>
      <c r="T18" s="3">
        <v>56</v>
      </c>
      <c r="U18" s="3">
        <v>37</v>
      </c>
      <c r="V18" s="3">
        <v>21</v>
      </c>
      <c r="W18" s="3">
        <v>22</v>
      </c>
      <c r="X18" s="3">
        <v>32</v>
      </c>
      <c r="Y18" s="3">
        <v>30</v>
      </c>
      <c r="Z18" s="3">
        <v>30</v>
      </c>
      <c r="AA18" s="3">
        <v>38</v>
      </c>
      <c r="AB18" s="3">
        <v>64</v>
      </c>
      <c r="AC18" s="3">
        <v>88</v>
      </c>
      <c r="AD18" s="3">
        <v>217</v>
      </c>
      <c r="AE18" s="3">
        <v>58</v>
      </c>
    </row>
    <row r="19" spans="1:31" s="5" customFormat="1" x14ac:dyDescent="0.2">
      <c r="A19" s="3">
        <v>11733</v>
      </c>
      <c r="B19" s="3" t="s">
        <v>1</v>
      </c>
      <c r="C19" s="3">
        <v>24</v>
      </c>
      <c r="D19" s="3">
        <v>33</v>
      </c>
      <c r="E19" s="3">
        <v>14</v>
      </c>
      <c r="F19" s="3">
        <v>35</v>
      </c>
      <c r="G19" s="3">
        <v>38</v>
      </c>
      <c r="H19" s="3">
        <v>30</v>
      </c>
      <c r="I19" s="3">
        <v>56.410256410256409</v>
      </c>
      <c r="J19" s="3">
        <v>41</v>
      </c>
      <c r="K19" s="3">
        <v>20</v>
      </c>
      <c r="L19" s="3">
        <v>19</v>
      </c>
      <c r="M19" s="3">
        <v>9</v>
      </c>
      <c r="N19" s="3">
        <v>29</v>
      </c>
      <c r="O19" s="3">
        <v>59</v>
      </c>
      <c r="P19" s="3">
        <v>7</v>
      </c>
      <c r="Q19" s="3">
        <v>6</v>
      </c>
      <c r="R19" s="3">
        <v>-26</v>
      </c>
      <c r="S19" s="3">
        <v>-48</v>
      </c>
      <c r="T19" s="3">
        <v>53</v>
      </c>
      <c r="U19" s="3">
        <v>49</v>
      </c>
      <c r="V19" s="3">
        <v>22</v>
      </c>
      <c r="W19" s="3">
        <v>22</v>
      </c>
      <c r="X19" s="3">
        <v>32</v>
      </c>
      <c r="Y19" s="3">
        <v>30</v>
      </c>
      <c r="Z19" s="3">
        <v>30</v>
      </c>
      <c r="AA19" s="3">
        <v>36</v>
      </c>
      <c r="AB19" s="3">
        <v>62</v>
      </c>
      <c r="AC19" s="3">
        <v>84</v>
      </c>
      <c r="AD19" s="3">
        <v>216</v>
      </c>
      <c r="AE19" s="3">
        <v>55</v>
      </c>
    </row>
    <row r="20" spans="1:31" s="5" customFormat="1" x14ac:dyDescent="0.2">
      <c r="A20" s="3">
        <v>11752</v>
      </c>
      <c r="B20" s="3" t="s">
        <v>1</v>
      </c>
      <c r="C20" s="3">
        <v>28</v>
      </c>
      <c r="D20" s="3">
        <v>33</v>
      </c>
      <c r="E20" s="3">
        <v>21</v>
      </c>
      <c r="F20" s="3">
        <v>36</v>
      </c>
      <c r="G20" s="3">
        <v>38</v>
      </c>
      <c r="H20" s="3">
        <v>30</v>
      </c>
      <c r="I20" s="3">
        <v>51.282051282051277</v>
      </c>
      <c r="J20" s="3">
        <v>41</v>
      </c>
      <c r="K20" s="3">
        <v>14</v>
      </c>
      <c r="L20" s="3">
        <v>14</v>
      </c>
      <c r="M20" s="3">
        <v>9</v>
      </c>
      <c r="N20" s="3">
        <v>23</v>
      </c>
      <c r="O20" s="3">
        <v>60</v>
      </c>
      <c r="P20" s="3">
        <v>8</v>
      </c>
      <c r="Q20" s="3">
        <v>6</v>
      </c>
      <c r="R20" s="3">
        <v>-41</v>
      </c>
      <c r="S20" s="3">
        <v>-51</v>
      </c>
      <c r="T20" s="3">
        <v>52</v>
      </c>
      <c r="U20" s="3">
        <v>58</v>
      </c>
      <c r="V20" s="3">
        <v>22</v>
      </c>
      <c r="W20" s="3">
        <v>22</v>
      </c>
      <c r="X20" s="3">
        <v>32</v>
      </c>
      <c r="Y20" s="3">
        <v>30</v>
      </c>
      <c r="Z20" s="3">
        <v>30</v>
      </c>
      <c r="AA20" s="3">
        <v>36</v>
      </c>
      <c r="AB20" s="3">
        <v>63</v>
      </c>
      <c r="AC20" s="3">
        <v>88</v>
      </c>
      <c r="AD20" s="3">
        <v>219</v>
      </c>
      <c r="AE20" s="3">
        <v>55</v>
      </c>
    </row>
    <row r="21" spans="1:31" s="5" customFormat="1" x14ac:dyDescent="0.2">
      <c r="A21" s="3">
        <v>11841</v>
      </c>
      <c r="B21" s="3" t="s">
        <v>1</v>
      </c>
      <c r="C21" s="3">
        <v>27</v>
      </c>
      <c r="D21" s="3">
        <v>37</v>
      </c>
      <c r="E21" s="3">
        <v>22</v>
      </c>
      <c r="F21" s="3">
        <v>36</v>
      </c>
      <c r="G21" s="3">
        <v>77.358490566037744</v>
      </c>
      <c r="H21" s="3">
        <v>96.666666666666671</v>
      </c>
      <c r="I21" s="3">
        <v>91.304347826086953</v>
      </c>
      <c r="J21" s="3">
        <v>39</v>
      </c>
      <c r="K21" s="3">
        <v>14</v>
      </c>
      <c r="L21" s="3">
        <v>18</v>
      </c>
      <c r="M21" s="3">
        <v>10</v>
      </c>
      <c r="N21" s="3">
        <v>30</v>
      </c>
      <c r="O21" s="3">
        <v>60</v>
      </c>
      <c r="P21" s="3">
        <v>6</v>
      </c>
      <c r="Q21" s="3">
        <v>6</v>
      </c>
      <c r="R21" s="3">
        <v>-50</v>
      </c>
      <c r="S21" s="3">
        <v>-110</v>
      </c>
      <c r="T21" s="3">
        <v>59</v>
      </c>
      <c r="U21" s="3">
        <v>60</v>
      </c>
      <c r="V21" s="3">
        <v>20</v>
      </c>
      <c r="W21" s="3">
        <v>22</v>
      </c>
      <c r="X21" s="3">
        <v>32</v>
      </c>
      <c r="Y21" s="3">
        <v>30</v>
      </c>
      <c r="Z21" s="3">
        <v>30</v>
      </c>
      <c r="AA21" s="3">
        <v>38</v>
      </c>
      <c r="AB21" s="3">
        <v>65</v>
      </c>
      <c r="AC21" s="3">
        <v>86</v>
      </c>
      <c r="AD21" s="3">
        <v>220</v>
      </c>
      <c r="AE21" s="3">
        <v>58</v>
      </c>
    </row>
    <row r="22" spans="1:31" s="5" customFormat="1" x14ac:dyDescent="0.2">
      <c r="A22" s="3">
        <v>12073</v>
      </c>
      <c r="B22" s="3" t="s">
        <v>1</v>
      </c>
      <c r="C22" s="3">
        <v>24</v>
      </c>
      <c r="D22" s="3">
        <v>29</v>
      </c>
      <c r="E22" s="3">
        <v>20</v>
      </c>
      <c r="F22" s="3">
        <v>35</v>
      </c>
      <c r="G22" s="3">
        <v>75.471698113207552</v>
      </c>
      <c r="H22" s="3">
        <v>80</v>
      </c>
      <c r="I22" s="3">
        <v>95.652173913043484</v>
      </c>
      <c r="J22" s="3">
        <v>43</v>
      </c>
      <c r="K22" s="3">
        <v>12</v>
      </c>
      <c r="L22" s="3">
        <v>13</v>
      </c>
      <c r="M22" s="3">
        <v>9</v>
      </c>
      <c r="N22" s="3">
        <v>22</v>
      </c>
      <c r="O22" s="3">
        <v>59</v>
      </c>
      <c r="P22" s="3">
        <v>6</v>
      </c>
      <c r="Q22" s="3">
        <v>5</v>
      </c>
      <c r="R22" s="3">
        <v>-70</v>
      </c>
      <c r="S22" s="3">
        <v>-142</v>
      </c>
      <c r="T22" s="3">
        <v>54</v>
      </c>
      <c r="U22" s="3">
        <v>40</v>
      </c>
      <c r="V22" s="3">
        <v>22</v>
      </c>
      <c r="W22" s="3">
        <v>22</v>
      </c>
      <c r="X22" s="3">
        <v>31</v>
      </c>
      <c r="Y22" s="3">
        <v>30</v>
      </c>
      <c r="Z22" s="3">
        <v>30</v>
      </c>
      <c r="AA22" s="3">
        <v>34</v>
      </c>
      <c r="AB22" s="3">
        <v>65</v>
      </c>
      <c r="AC22" s="3">
        <v>86</v>
      </c>
      <c r="AD22" s="3">
        <v>216</v>
      </c>
      <c r="AE22" s="3">
        <v>51</v>
      </c>
    </row>
    <row r="23" spans="1:31" s="5" customFormat="1" x14ac:dyDescent="0.2">
      <c r="A23" s="3">
        <v>12158</v>
      </c>
      <c r="B23" s="3" t="s">
        <v>1</v>
      </c>
      <c r="C23" s="3">
        <v>27</v>
      </c>
      <c r="D23" s="3">
        <v>21</v>
      </c>
      <c r="E23" s="3">
        <v>13</v>
      </c>
      <c r="F23" s="3">
        <v>32</v>
      </c>
      <c r="G23" s="3">
        <v>60.377358490566039</v>
      </c>
      <c r="H23" s="3">
        <v>83.333333333333343</v>
      </c>
      <c r="I23" s="3">
        <v>91.304347826086953</v>
      </c>
      <c r="J23" s="3">
        <v>47</v>
      </c>
      <c r="K23" s="3">
        <v>19</v>
      </c>
      <c r="L23" s="3">
        <v>19</v>
      </c>
      <c r="M23" s="3">
        <v>10</v>
      </c>
      <c r="N23" s="3">
        <v>30</v>
      </c>
      <c r="O23" s="3">
        <v>56</v>
      </c>
      <c r="P23" s="3">
        <v>5</v>
      </c>
      <c r="Q23" s="3">
        <v>5</v>
      </c>
      <c r="R23" s="3">
        <v>-63</v>
      </c>
      <c r="S23" s="3">
        <v>-123</v>
      </c>
      <c r="T23" s="3">
        <v>57</v>
      </c>
      <c r="U23" s="3">
        <v>27</v>
      </c>
      <c r="V23" s="3">
        <v>22</v>
      </c>
      <c r="W23" s="3">
        <v>22</v>
      </c>
      <c r="X23" s="3">
        <v>30</v>
      </c>
      <c r="Y23" s="3">
        <v>30</v>
      </c>
      <c r="Z23" s="3">
        <v>30</v>
      </c>
      <c r="AA23" s="3">
        <v>36</v>
      </c>
      <c r="AB23" s="3">
        <v>65</v>
      </c>
      <c r="AC23" s="3">
        <v>88</v>
      </c>
      <c r="AD23" s="3">
        <v>225</v>
      </c>
      <c r="AE23" s="3">
        <v>59</v>
      </c>
    </row>
    <row r="24" spans="1:31" s="5" customFormat="1" x14ac:dyDescent="0.2">
      <c r="A24" s="3">
        <v>12269</v>
      </c>
      <c r="B24" s="3" t="s">
        <v>1</v>
      </c>
      <c r="C24" s="3">
        <v>28</v>
      </c>
      <c r="D24" s="3">
        <v>29</v>
      </c>
      <c r="E24" s="3">
        <v>17</v>
      </c>
      <c r="F24" s="3">
        <v>34</v>
      </c>
      <c r="G24" s="3">
        <v>56.000000000000007</v>
      </c>
      <c r="H24" s="3">
        <v>57.999999999999993</v>
      </c>
      <c r="I24" s="3">
        <v>79.487179487179489</v>
      </c>
      <c r="J24" s="3">
        <v>37</v>
      </c>
      <c r="K24" s="3">
        <v>13</v>
      </c>
      <c r="L24" s="3">
        <v>13</v>
      </c>
      <c r="M24" s="3">
        <v>8</v>
      </c>
      <c r="N24" s="3">
        <v>30</v>
      </c>
      <c r="O24" s="3">
        <v>60</v>
      </c>
      <c r="P24" s="3">
        <v>7</v>
      </c>
      <c r="Q24" s="3">
        <v>5</v>
      </c>
      <c r="R24" s="3">
        <v>-31</v>
      </c>
      <c r="S24" s="3">
        <v>-93</v>
      </c>
      <c r="T24" s="3">
        <v>60</v>
      </c>
      <c r="U24" s="3">
        <v>58</v>
      </c>
      <c r="V24" s="3">
        <v>21</v>
      </c>
      <c r="W24" s="3">
        <v>22</v>
      </c>
      <c r="X24" s="3">
        <v>32</v>
      </c>
      <c r="Y24" s="3">
        <v>30</v>
      </c>
      <c r="Z24" s="3">
        <v>30</v>
      </c>
      <c r="AA24" s="3">
        <v>38</v>
      </c>
      <c r="AB24" s="3">
        <v>63</v>
      </c>
      <c r="AC24" s="3">
        <v>88</v>
      </c>
      <c r="AD24" s="3">
        <v>224</v>
      </c>
      <c r="AE24" s="3">
        <v>59</v>
      </c>
    </row>
    <row r="25" spans="1:31" s="5" customFormat="1" x14ac:dyDescent="0.2">
      <c r="A25" s="3">
        <v>12272</v>
      </c>
      <c r="B25" s="3" t="s">
        <v>1</v>
      </c>
      <c r="C25" s="3">
        <v>27</v>
      </c>
      <c r="D25" s="3">
        <v>29</v>
      </c>
      <c r="E25" s="3">
        <v>16</v>
      </c>
      <c r="F25" s="3">
        <v>36</v>
      </c>
      <c r="G25" s="3">
        <v>66</v>
      </c>
      <c r="H25" s="3">
        <v>52</v>
      </c>
      <c r="I25" s="3">
        <v>69.230769230769226</v>
      </c>
      <c r="J25" s="3">
        <v>44</v>
      </c>
      <c r="K25" s="3">
        <v>13</v>
      </c>
      <c r="L25" s="3">
        <v>14</v>
      </c>
      <c r="M25" s="3">
        <v>10</v>
      </c>
      <c r="N25" s="3">
        <v>30</v>
      </c>
      <c r="O25" s="3">
        <v>60</v>
      </c>
      <c r="P25" s="3">
        <v>6</v>
      </c>
      <c r="Q25" s="3">
        <v>5</v>
      </c>
      <c r="R25" s="3">
        <v>-27</v>
      </c>
      <c r="S25" s="3">
        <v>-75</v>
      </c>
      <c r="T25" s="3">
        <v>57</v>
      </c>
      <c r="U25" s="3">
        <v>36</v>
      </c>
      <c r="V25" s="3">
        <v>22</v>
      </c>
      <c r="W25" s="3">
        <v>21</v>
      </c>
      <c r="X25" s="3">
        <v>31</v>
      </c>
      <c r="Y25" s="3">
        <v>29</v>
      </c>
      <c r="Z25" s="3">
        <v>30</v>
      </c>
      <c r="AA25" s="3">
        <v>38</v>
      </c>
      <c r="AB25" s="3">
        <v>63</v>
      </c>
      <c r="AC25" s="3">
        <v>88</v>
      </c>
      <c r="AD25" s="3">
        <v>215</v>
      </c>
      <c r="AE25" s="3">
        <v>60</v>
      </c>
    </row>
    <row r="26" spans="1:31" s="5" customFormat="1" x14ac:dyDescent="0.2">
      <c r="A26" s="3">
        <v>12370</v>
      </c>
      <c r="B26" s="3" t="s">
        <v>1</v>
      </c>
      <c r="C26" s="3">
        <v>27</v>
      </c>
      <c r="D26" s="3">
        <v>30</v>
      </c>
      <c r="E26" s="3">
        <v>12</v>
      </c>
      <c r="F26" s="3">
        <v>34</v>
      </c>
      <c r="G26" s="3">
        <v>64</v>
      </c>
      <c r="H26" s="3">
        <v>40</v>
      </c>
      <c r="I26" s="3">
        <v>66.666666666666657</v>
      </c>
      <c r="J26" s="3">
        <v>40</v>
      </c>
      <c r="K26" s="3">
        <v>18</v>
      </c>
      <c r="L26" s="3">
        <v>18</v>
      </c>
      <c r="M26" s="3">
        <v>10</v>
      </c>
      <c r="N26" s="3">
        <v>27</v>
      </c>
      <c r="O26" s="3">
        <v>60</v>
      </c>
      <c r="P26" s="3">
        <v>9</v>
      </c>
      <c r="Q26" s="3">
        <v>7</v>
      </c>
      <c r="R26" s="3">
        <v>-27</v>
      </c>
      <c r="S26" s="3">
        <v>-44</v>
      </c>
      <c r="T26" s="3">
        <v>54</v>
      </c>
      <c r="U26" s="3">
        <v>87</v>
      </c>
      <c r="V26" s="3">
        <v>22</v>
      </c>
      <c r="W26" s="3">
        <v>22</v>
      </c>
      <c r="X26" s="3">
        <v>32</v>
      </c>
      <c r="Y26" s="3">
        <v>30</v>
      </c>
      <c r="Z26" s="3">
        <v>30</v>
      </c>
      <c r="AA26" s="3">
        <v>40</v>
      </c>
      <c r="AB26" s="3">
        <v>65</v>
      </c>
      <c r="AC26" s="3">
        <v>88</v>
      </c>
      <c r="AD26" s="3">
        <v>214</v>
      </c>
      <c r="AE26" s="3">
        <v>54</v>
      </c>
    </row>
    <row r="28" spans="1:31" x14ac:dyDescent="0.2">
      <c r="D28" s="2" t="s">
        <v>39</v>
      </c>
      <c r="E28">
        <f>COUNTIF(C2:AE26, "NT")</f>
        <v>1</v>
      </c>
    </row>
    <row r="31" spans="1:31" x14ac:dyDescent="0.2">
      <c r="E31">
        <f>1+27+7</f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2"/>
  <sheetViews>
    <sheetView workbookViewId="0">
      <selection activeCell="E17" sqref="E17"/>
    </sheetView>
  </sheetViews>
  <sheetFormatPr baseColWidth="10" defaultColWidth="8.83203125" defaultRowHeight="15" x14ac:dyDescent="0.2"/>
  <sheetData>
    <row r="1" spans="1:31" s="5" customFormat="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s="5" customFormat="1" x14ac:dyDescent="0.2">
      <c r="A2" s="5">
        <v>10285</v>
      </c>
      <c r="B2" s="1" t="s">
        <v>2</v>
      </c>
      <c r="C2" s="5">
        <v>25</v>
      </c>
      <c r="D2" s="5">
        <v>38</v>
      </c>
      <c r="E2" s="5">
        <v>19</v>
      </c>
      <c r="F2" s="5">
        <v>36</v>
      </c>
      <c r="G2" s="3">
        <v>45.283018867924532</v>
      </c>
      <c r="H2" s="3">
        <v>63.333333333333329</v>
      </c>
      <c r="I2" s="3">
        <v>73.91304347826086</v>
      </c>
      <c r="J2" s="5">
        <v>45</v>
      </c>
      <c r="K2" s="5">
        <v>16</v>
      </c>
      <c r="L2" s="5">
        <v>16</v>
      </c>
      <c r="M2" s="5">
        <v>10</v>
      </c>
      <c r="N2" s="5">
        <v>29</v>
      </c>
      <c r="O2" s="5">
        <v>59</v>
      </c>
      <c r="P2" s="5">
        <v>5</v>
      </c>
      <c r="Q2" s="5">
        <v>5</v>
      </c>
      <c r="R2" s="3">
        <v>-61</v>
      </c>
      <c r="S2" s="3">
        <v>-199</v>
      </c>
      <c r="T2" s="5">
        <v>57</v>
      </c>
      <c r="U2" s="5">
        <v>18</v>
      </c>
      <c r="V2" s="5">
        <v>22</v>
      </c>
      <c r="W2" s="5">
        <v>22</v>
      </c>
      <c r="X2" s="5">
        <v>32</v>
      </c>
      <c r="Y2" s="5">
        <v>26</v>
      </c>
      <c r="Z2" s="5">
        <v>30</v>
      </c>
      <c r="AA2" s="5">
        <v>31</v>
      </c>
      <c r="AB2" s="5">
        <v>64</v>
      </c>
      <c r="AC2" s="5">
        <v>84</v>
      </c>
      <c r="AD2" s="5">
        <v>212</v>
      </c>
      <c r="AE2" s="5">
        <v>57</v>
      </c>
    </row>
    <row r="3" spans="1:31" s="5" customFormat="1" x14ac:dyDescent="0.2">
      <c r="A3" s="5">
        <v>8539</v>
      </c>
      <c r="B3" s="1" t="s">
        <v>2</v>
      </c>
      <c r="C3" s="5">
        <v>19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5">
        <v>44</v>
      </c>
      <c r="K3" s="5">
        <v>15</v>
      </c>
      <c r="L3" s="5">
        <v>15</v>
      </c>
      <c r="M3" s="5">
        <v>10</v>
      </c>
      <c r="N3" s="5">
        <v>29</v>
      </c>
      <c r="O3" s="5">
        <v>59</v>
      </c>
      <c r="P3" s="5">
        <v>3</v>
      </c>
      <c r="Q3" s="5">
        <v>3</v>
      </c>
      <c r="R3" s="3">
        <v>-42</v>
      </c>
      <c r="S3" s="3">
        <v>-123</v>
      </c>
      <c r="T3" s="5">
        <v>23</v>
      </c>
      <c r="U3" s="5">
        <v>21</v>
      </c>
      <c r="V3" s="5">
        <v>14</v>
      </c>
      <c r="W3" s="5">
        <v>22</v>
      </c>
      <c r="X3" s="8" t="s">
        <v>0</v>
      </c>
      <c r="Y3" s="8" t="s">
        <v>0</v>
      </c>
      <c r="Z3" s="5">
        <v>15</v>
      </c>
      <c r="AA3" s="5">
        <v>5</v>
      </c>
      <c r="AB3" s="8" t="s">
        <v>0</v>
      </c>
      <c r="AC3" s="8" t="s">
        <v>0</v>
      </c>
      <c r="AD3" s="5">
        <v>169</v>
      </c>
      <c r="AE3" s="5">
        <v>53</v>
      </c>
    </row>
    <row r="4" spans="1:31" s="5" customFormat="1" x14ac:dyDescent="0.2">
      <c r="A4" s="5">
        <v>10361</v>
      </c>
      <c r="B4" s="1" t="s">
        <v>2</v>
      </c>
      <c r="C4" s="5">
        <v>14</v>
      </c>
      <c r="D4" s="5">
        <v>12</v>
      </c>
      <c r="E4" s="5">
        <v>7</v>
      </c>
      <c r="F4" s="5">
        <v>28</v>
      </c>
      <c r="G4" s="3">
        <v>20.754716981132077</v>
      </c>
      <c r="H4" s="3">
        <v>20</v>
      </c>
      <c r="I4" s="3">
        <v>86.956521739130437</v>
      </c>
      <c r="J4" s="5">
        <v>26</v>
      </c>
      <c r="K4" s="5">
        <v>10</v>
      </c>
      <c r="L4" s="5">
        <v>10</v>
      </c>
      <c r="M4" s="5">
        <v>8</v>
      </c>
      <c r="N4" s="5">
        <v>0</v>
      </c>
      <c r="O4" s="5">
        <v>43</v>
      </c>
      <c r="P4" s="5">
        <v>5</v>
      </c>
      <c r="Q4" s="5">
        <v>4</v>
      </c>
      <c r="R4" s="3">
        <v>-108</v>
      </c>
      <c r="S4" s="7" t="s">
        <v>0</v>
      </c>
      <c r="T4" s="5">
        <v>53</v>
      </c>
      <c r="U4" s="5">
        <v>14</v>
      </c>
      <c r="V4" s="5">
        <v>21</v>
      </c>
      <c r="W4" s="5">
        <v>22</v>
      </c>
      <c r="X4" s="5">
        <v>32</v>
      </c>
      <c r="Y4" s="8" t="s">
        <v>0</v>
      </c>
      <c r="Z4" s="5">
        <v>26</v>
      </c>
      <c r="AA4" s="5">
        <v>40</v>
      </c>
      <c r="AB4" s="5">
        <v>29</v>
      </c>
      <c r="AC4" s="5">
        <v>72</v>
      </c>
      <c r="AD4" s="5">
        <v>214</v>
      </c>
      <c r="AE4" s="5">
        <v>46</v>
      </c>
    </row>
    <row r="5" spans="1:31" s="5" customFormat="1" x14ac:dyDescent="0.2">
      <c r="A5" s="5">
        <v>12756</v>
      </c>
      <c r="B5" s="1" t="s">
        <v>2</v>
      </c>
      <c r="C5" s="5">
        <v>14</v>
      </c>
      <c r="D5" s="8" t="s">
        <v>0</v>
      </c>
      <c r="E5" s="8" t="s">
        <v>0</v>
      </c>
      <c r="F5" s="8" t="s">
        <v>0</v>
      </c>
      <c r="G5" s="3">
        <v>10</v>
      </c>
      <c r="H5" s="3">
        <v>8</v>
      </c>
      <c r="I5" s="3">
        <v>20.512820512820511</v>
      </c>
      <c r="J5" s="8" t="s">
        <v>0</v>
      </c>
      <c r="K5" s="5">
        <v>10</v>
      </c>
      <c r="L5" s="5">
        <v>15</v>
      </c>
      <c r="M5" s="5">
        <v>8</v>
      </c>
      <c r="N5" s="5">
        <v>17</v>
      </c>
      <c r="O5" s="5">
        <v>57</v>
      </c>
      <c r="P5" s="5">
        <v>4</v>
      </c>
      <c r="Q5" s="5">
        <v>3</v>
      </c>
      <c r="R5" s="3">
        <v>-94</v>
      </c>
      <c r="S5" s="3">
        <v>-398</v>
      </c>
      <c r="T5" s="5">
        <v>27</v>
      </c>
      <c r="U5" s="5">
        <v>9</v>
      </c>
      <c r="V5" s="5">
        <v>5</v>
      </c>
      <c r="W5" s="5">
        <v>21</v>
      </c>
      <c r="X5" s="5">
        <v>29</v>
      </c>
      <c r="Y5" s="5">
        <v>7</v>
      </c>
      <c r="Z5" s="5">
        <v>24</v>
      </c>
      <c r="AA5" s="5">
        <v>32</v>
      </c>
      <c r="AB5" s="5">
        <v>19</v>
      </c>
      <c r="AC5" s="5">
        <v>47</v>
      </c>
      <c r="AD5" s="5">
        <v>208</v>
      </c>
      <c r="AE5" s="5">
        <v>51</v>
      </c>
    </row>
    <row r="6" spans="1:31" s="5" customFormat="1" x14ac:dyDescent="0.2">
      <c r="A6" s="5">
        <v>12828</v>
      </c>
      <c r="B6" s="1" t="s">
        <v>2</v>
      </c>
      <c r="C6" s="5">
        <v>22</v>
      </c>
      <c r="D6" s="5">
        <v>36</v>
      </c>
      <c r="E6" s="5">
        <v>16</v>
      </c>
      <c r="F6" s="5">
        <v>36</v>
      </c>
      <c r="G6" s="3">
        <v>54.716981132075468</v>
      </c>
      <c r="H6" s="3">
        <v>60</v>
      </c>
      <c r="I6" s="3">
        <v>91.304347826086953</v>
      </c>
      <c r="J6" s="5">
        <v>32</v>
      </c>
      <c r="K6" s="5">
        <v>10</v>
      </c>
      <c r="L6" s="5">
        <v>10</v>
      </c>
      <c r="M6" s="5">
        <v>8</v>
      </c>
      <c r="N6" s="8" t="s">
        <v>0</v>
      </c>
      <c r="O6" s="5">
        <v>57</v>
      </c>
      <c r="P6" s="5">
        <v>5</v>
      </c>
      <c r="Q6" s="5">
        <v>3</v>
      </c>
      <c r="R6" s="3">
        <v>-78</v>
      </c>
      <c r="S6" s="3">
        <v>-204</v>
      </c>
      <c r="T6" s="5">
        <v>49</v>
      </c>
      <c r="U6" s="5">
        <v>17</v>
      </c>
      <c r="V6" s="5">
        <v>20</v>
      </c>
      <c r="W6" s="5">
        <v>21</v>
      </c>
      <c r="X6" s="5">
        <v>31</v>
      </c>
      <c r="Y6" s="5">
        <v>25</v>
      </c>
      <c r="Z6" s="5">
        <v>30</v>
      </c>
      <c r="AA6" s="5">
        <v>35</v>
      </c>
      <c r="AB6" s="5">
        <v>59</v>
      </c>
      <c r="AC6" s="5">
        <v>87</v>
      </c>
      <c r="AD6" s="5">
        <v>202</v>
      </c>
      <c r="AE6" s="5">
        <v>51</v>
      </c>
    </row>
    <row r="7" spans="1:31" s="5" customFormat="1" x14ac:dyDescent="0.2">
      <c r="A7" s="5">
        <v>11014</v>
      </c>
      <c r="B7" s="1" t="s">
        <v>2</v>
      </c>
      <c r="C7" s="5">
        <v>12</v>
      </c>
      <c r="D7" s="5">
        <v>15</v>
      </c>
      <c r="E7" s="5">
        <v>5</v>
      </c>
      <c r="F7" s="5">
        <v>34</v>
      </c>
      <c r="G7" s="3">
        <v>26.415094339622641</v>
      </c>
      <c r="H7" s="3">
        <v>20</v>
      </c>
      <c r="I7" s="3">
        <v>82.608695652173907</v>
      </c>
      <c r="J7" s="5">
        <v>35</v>
      </c>
      <c r="K7" s="5">
        <v>7</v>
      </c>
      <c r="L7" s="5">
        <v>8</v>
      </c>
      <c r="M7" s="5">
        <v>5</v>
      </c>
      <c r="N7" s="8" t="s">
        <v>0</v>
      </c>
      <c r="O7" s="5">
        <v>35</v>
      </c>
      <c r="P7" s="5">
        <v>6</v>
      </c>
      <c r="Q7" s="5">
        <v>4</v>
      </c>
      <c r="R7" s="3">
        <v>-176</v>
      </c>
      <c r="S7" s="7" t="s">
        <v>0</v>
      </c>
      <c r="T7" s="5">
        <v>8</v>
      </c>
      <c r="U7" s="5">
        <v>17</v>
      </c>
      <c r="V7" s="5">
        <v>12</v>
      </c>
      <c r="W7" s="5">
        <v>18</v>
      </c>
      <c r="X7" s="5">
        <v>27</v>
      </c>
      <c r="Y7" s="5">
        <v>29</v>
      </c>
      <c r="Z7" s="5">
        <v>19</v>
      </c>
      <c r="AA7" s="5">
        <v>39</v>
      </c>
      <c r="AB7" s="5">
        <v>62</v>
      </c>
      <c r="AC7" s="5">
        <v>80</v>
      </c>
      <c r="AD7" s="5">
        <v>167</v>
      </c>
      <c r="AE7" s="5">
        <v>34</v>
      </c>
    </row>
    <row r="8" spans="1:31" s="5" customFormat="1" x14ac:dyDescent="0.2">
      <c r="A8" s="5">
        <v>12829</v>
      </c>
      <c r="B8" s="1" t="s">
        <v>2</v>
      </c>
      <c r="C8" s="5">
        <v>21</v>
      </c>
      <c r="D8" s="5">
        <v>21</v>
      </c>
      <c r="E8" s="5">
        <v>13</v>
      </c>
      <c r="F8" s="5">
        <v>35</v>
      </c>
      <c r="G8" s="3">
        <v>41.509433962264154</v>
      </c>
      <c r="H8" s="3">
        <v>43.333333333333336</v>
      </c>
      <c r="I8" s="3">
        <v>78.260869565217391</v>
      </c>
      <c r="J8" s="5">
        <v>34</v>
      </c>
      <c r="K8" s="5">
        <v>16</v>
      </c>
      <c r="L8" s="5">
        <v>14</v>
      </c>
      <c r="M8" s="5">
        <v>10</v>
      </c>
      <c r="N8" s="5">
        <v>28</v>
      </c>
      <c r="O8" s="5">
        <v>35</v>
      </c>
      <c r="P8" s="5">
        <v>6</v>
      </c>
      <c r="Q8" s="5">
        <v>3</v>
      </c>
      <c r="R8" s="3">
        <v>-89</v>
      </c>
      <c r="S8" s="3">
        <v>-275</v>
      </c>
      <c r="T8" s="5">
        <v>54</v>
      </c>
      <c r="U8" s="5">
        <v>7</v>
      </c>
      <c r="V8" s="5">
        <v>21</v>
      </c>
      <c r="W8" s="5">
        <v>22</v>
      </c>
      <c r="X8" s="5">
        <v>32</v>
      </c>
      <c r="Y8" s="5">
        <v>30</v>
      </c>
      <c r="Z8" s="5">
        <v>30</v>
      </c>
      <c r="AA8" s="5">
        <v>31</v>
      </c>
      <c r="AB8" s="5">
        <v>62</v>
      </c>
      <c r="AC8" s="5">
        <v>86</v>
      </c>
      <c r="AD8" s="5">
        <v>215</v>
      </c>
      <c r="AE8" s="5">
        <v>50</v>
      </c>
    </row>
    <row r="9" spans="1:31" s="5" customFormat="1" x14ac:dyDescent="0.2">
      <c r="A9" s="5">
        <v>12952</v>
      </c>
      <c r="B9" s="1" t="s">
        <v>2</v>
      </c>
      <c r="C9" s="5">
        <v>26</v>
      </c>
      <c r="D9" s="5">
        <v>40</v>
      </c>
      <c r="E9" s="5">
        <v>24</v>
      </c>
      <c r="F9" s="5">
        <v>36</v>
      </c>
      <c r="G9" s="3">
        <v>52</v>
      </c>
      <c r="H9" s="3">
        <v>48</v>
      </c>
      <c r="I9" s="3">
        <v>56.410256410256409</v>
      </c>
      <c r="J9" s="5">
        <v>43</v>
      </c>
      <c r="K9" s="5">
        <v>16</v>
      </c>
      <c r="L9" s="5">
        <v>15</v>
      </c>
      <c r="M9" s="5">
        <v>8</v>
      </c>
      <c r="N9" s="5">
        <v>15</v>
      </c>
      <c r="O9" s="5">
        <v>58</v>
      </c>
      <c r="P9" s="5">
        <v>5</v>
      </c>
      <c r="Q9" s="5">
        <v>4</v>
      </c>
      <c r="R9" s="3">
        <v>-62</v>
      </c>
      <c r="S9" s="3">
        <v>-105</v>
      </c>
      <c r="T9" s="5">
        <v>40</v>
      </c>
      <c r="U9" s="5">
        <v>17</v>
      </c>
      <c r="V9" s="5">
        <v>21</v>
      </c>
      <c r="W9" s="5">
        <v>22</v>
      </c>
      <c r="X9" s="5">
        <v>32</v>
      </c>
      <c r="Y9" s="5">
        <v>27</v>
      </c>
      <c r="Z9" s="5">
        <v>30</v>
      </c>
      <c r="AA9" s="5">
        <v>37</v>
      </c>
      <c r="AB9" s="5">
        <v>63</v>
      </c>
      <c r="AC9" s="5">
        <v>85</v>
      </c>
      <c r="AD9" s="5">
        <v>168</v>
      </c>
      <c r="AE9" s="5">
        <v>55</v>
      </c>
    </row>
    <row r="10" spans="1:31" s="5" customFormat="1" x14ac:dyDescent="0.2">
      <c r="A10" s="5">
        <v>13187</v>
      </c>
      <c r="B10" s="1" t="s">
        <v>2</v>
      </c>
      <c r="C10" s="5">
        <v>23</v>
      </c>
      <c r="D10" s="5">
        <v>27</v>
      </c>
      <c r="E10" s="5">
        <v>19</v>
      </c>
      <c r="F10" s="5">
        <v>35</v>
      </c>
      <c r="G10" s="3">
        <v>10</v>
      </c>
      <c r="H10" s="3">
        <v>0</v>
      </c>
      <c r="I10" s="3">
        <v>53.846153846153847</v>
      </c>
      <c r="J10" s="5">
        <v>35</v>
      </c>
      <c r="K10" s="5">
        <v>16</v>
      </c>
      <c r="L10" s="5">
        <v>15</v>
      </c>
      <c r="M10" s="5">
        <v>9</v>
      </c>
      <c r="N10" s="5">
        <v>28</v>
      </c>
      <c r="O10" s="5">
        <v>60</v>
      </c>
      <c r="P10" s="5">
        <v>4</v>
      </c>
      <c r="Q10" s="5">
        <v>3</v>
      </c>
      <c r="R10" s="3">
        <v>-37</v>
      </c>
      <c r="S10" s="3">
        <v>-151</v>
      </c>
      <c r="T10" s="5">
        <v>46</v>
      </c>
      <c r="U10" s="5">
        <v>23</v>
      </c>
      <c r="V10" s="5">
        <v>16</v>
      </c>
      <c r="W10" s="5">
        <v>22</v>
      </c>
      <c r="X10" s="8" t="s">
        <v>0</v>
      </c>
      <c r="Y10" s="8" t="s">
        <v>0</v>
      </c>
      <c r="Z10" s="5">
        <v>18</v>
      </c>
      <c r="AA10" s="5">
        <v>21</v>
      </c>
      <c r="AB10" s="5">
        <v>43</v>
      </c>
      <c r="AC10" s="5">
        <v>39</v>
      </c>
      <c r="AD10" s="5">
        <v>190</v>
      </c>
      <c r="AE10" s="5">
        <v>54</v>
      </c>
    </row>
    <row r="11" spans="1:31" s="5" customFormat="1" x14ac:dyDescent="0.2">
      <c r="A11" s="5">
        <v>13196</v>
      </c>
      <c r="B11" s="1" t="s">
        <v>2</v>
      </c>
      <c r="C11" s="5">
        <v>25</v>
      </c>
      <c r="D11" s="5">
        <v>24</v>
      </c>
      <c r="E11" s="5">
        <v>14</v>
      </c>
      <c r="F11" s="5">
        <v>36</v>
      </c>
      <c r="G11" s="3">
        <v>34</v>
      </c>
      <c r="H11" s="3">
        <v>30</v>
      </c>
      <c r="I11" s="3">
        <v>66.666666666666657</v>
      </c>
      <c r="J11" s="5">
        <v>40</v>
      </c>
      <c r="K11" s="5">
        <v>12</v>
      </c>
      <c r="L11" s="5">
        <v>11</v>
      </c>
      <c r="M11" s="5">
        <v>10</v>
      </c>
      <c r="N11" s="5">
        <v>28</v>
      </c>
      <c r="O11" s="5">
        <v>53</v>
      </c>
      <c r="P11" s="5">
        <v>4</v>
      </c>
      <c r="Q11" s="5">
        <v>4</v>
      </c>
      <c r="R11" s="3">
        <v>-76</v>
      </c>
      <c r="S11" s="3">
        <v>-149</v>
      </c>
      <c r="T11" s="5">
        <v>51</v>
      </c>
      <c r="U11" s="5">
        <v>14</v>
      </c>
      <c r="V11" s="5">
        <v>20</v>
      </c>
      <c r="W11" s="5">
        <v>22</v>
      </c>
      <c r="X11" s="5">
        <v>31</v>
      </c>
      <c r="Y11" s="5">
        <v>27</v>
      </c>
      <c r="Z11" s="5">
        <v>30</v>
      </c>
      <c r="AA11" s="5">
        <v>35</v>
      </c>
      <c r="AB11" s="5">
        <v>54</v>
      </c>
      <c r="AC11" s="8" t="s">
        <v>0</v>
      </c>
      <c r="AD11" s="5">
        <v>206</v>
      </c>
      <c r="AE11" s="5">
        <v>54</v>
      </c>
    </row>
    <row r="12" spans="1:31" s="5" customFormat="1" x14ac:dyDescent="0.2">
      <c r="A12" s="5">
        <v>13074</v>
      </c>
      <c r="B12" s="1" t="s">
        <v>2</v>
      </c>
      <c r="C12" s="5">
        <v>26</v>
      </c>
      <c r="D12" s="5">
        <v>32</v>
      </c>
      <c r="E12" s="5">
        <v>14</v>
      </c>
      <c r="F12" s="5">
        <v>36</v>
      </c>
      <c r="G12" s="3">
        <v>50</v>
      </c>
      <c r="H12" s="3">
        <v>48</v>
      </c>
      <c r="I12" s="3">
        <v>58.974358974358978</v>
      </c>
      <c r="J12" s="5">
        <v>41</v>
      </c>
      <c r="K12" s="5">
        <v>16</v>
      </c>
      <c r="L12" s="5">
        <v>14</v>
      </c>
      <c r="M12" s="5">
        <v>9</v>
      </c>
      <c r="N12" s="5">
        <v>20</v>
      </c>
      <c r="O12" s="5">
        <v>59</v>
      </c>
      <c r="P12" s="5">
        <v>7</v>
      </c>
      <c r="Q12" s="5">
        <v>4</v>
      </c>
      <c r="R12" s="3">
        <v>-48</v>
      </c>
      <c r="S12" s="3">
        <v>-75</v>
      </c>
      <c r="T12" s="5">
        <v>40</v>
      </c>
      <c r="U12" s="5">
        <v>28</v>
      </c>
      <c r="V12" s="5">
        <v>20</v>
      </c>
      <c r="W12" s="5">
        <v>22</v>
      </c>
      <c r="X12" s="5">
        <v>32</v>
      </c>
      <c r="Y12" s="5">
        <v>29</v>
      </c>
      <c r="Z12" s="5">
        <v>30</v>
      </c>
      <c r="AA12" s="5">
        <v>31</v>
      </c>
      <c r="AB12" s="5">
        <v>62</v>
      </c>
      <c r="AC12" s="5">
        <v>86</v>
      </c>
      <c r="AD12" s="5">
        <v>195</v>
      </c>
      <c r="AE12" s="5">
        <v>50</v>
      </c>
    </row>
    <row r="13" spans="1:31" s="5" customFormat="1" x14ac:dyDescent="0.2">
      <c r="A13" s="5">
        <v>13188</v>
      </c>
      <c r="B13" s="1" t="s">
        <v>2</v>
      </c>
      <c r="C13" s="5">
        <v>23</v>
      </c>
      <c r="D13" s="5">
        <v>25</v>
      </c>
      <c r="E13" s="5">
        <v>16</v>
      </c>
      <c r="F13" s="5">
        <v>35</v>
      </c>
      <c r="G13" s="3">
        <v>24.528301886792452</v>
      </c>
      <c r="H13" s="3">
        <v>43.333333333333336</v>
      </c>
      <c r="I13" s="3">
        <v>69.565217391304344</v>
      </c>
      <c r="J13" s="5">
        <v>24</v>
      </c>
      <c r="K13" s="5">
        <v>17</v>
      </c>
      <c r="L13" s="5">
        <v>19</v>
      </c>
      <c r="M13" s="5">
        <v>8</v>
      </c>
      <c r="N13" s="5">
        <v>26</v>
      </c>
      <c r="O13" s="5">
        <v>59</v>
      </c>
      <c r="P13" s="5">
        <v>5</v>
      </c>
      <c r="Q13" s="5">
        <v>3</v>
      </c>
      <c r="R13" s="3">
        <v>-57</v>
      </c>
      <c r="S13" s="3">
        <v>-135</v>
      </c>
      <c r="T13" s="5">
        <v>39</v>
      </c>
      <c r="U13" s="5">
        <v>6</v>
      </c>
      <c r="V13" s="5">
        <v>14</v>
      </c>
      <c r="W13" s="5">
        <v>22</v>
      </c>
      <c r="X13" s="5">
        <v>29</v>
      </c>
      <c r="Y13" s="5">
        <v>22</v>
      </c>
      <c r="Z13" s="5">
        <v>25</v>
      </c>
      <c r="AA13" s="5">
        <v>28</v>
      </c>
      <c r="AB13" s="5">
        <v>55</v>
      </c>
      <c r="AC13" s="5">
        <v>81</v>
      </c>
      <c r="AD13" s="5">
        <v>201</v>
      </c>
      <c r="AE13" s="5">
        <v>50</v>
      </c>
    </row>
    <row r="14" spans="1:31" s="5" customFormat="1" x14ac:dyDescent="0.2">
      <c r="A14" s="5">
        <v>13156</v>
      </c>
      <c r="B14" s="1" t="s">
        <v>2</v>
      </c>
      <c r="C14" s="5">
        <v>7</v>
      </c>
      <c r="D14" s="5">
        <v>17</v>
      </c>
      <c r="E14" s="5">
        <v>4</v>
      </c>
      <c r="F14" s="5">
        <v>30</v>
      </c>
      <c r="G14" s="3">
        <v>22.641509433962266</v>
      </c>
      <c r="H14" s="3">
        <v>23.333333333333332</v>
      </c>
      <c r="I14" s="3">
        <v>52.173913043478258</v>
      </c>
      <c r="J14" s="8" t="s">
        <v>0</v>
      </c>
      <c r="K14" s="5">
        <v>5</v>
      </c>
      <c r="L14" s="5">
        <v>5</v>
      </c>
      <c r="M14" s="5">
        <v>3</v>
      </c>
      <c r="N14" s="8" t="s">
        <v>0</v>
      </c>
      <c r="O14" s="5">
        <v>33</v>
      </c>
      <c r="P14" s="5">
        <v>3</v>
      </c>
      <c r="Q14" s="5">
        <v>2</v>
      </c>
      <c r="R14" s="3">
        <v>-414</v>
      </c>
      <c r="S14" s="7" t="s">
        <v>0</v>
      </c>
      <c r="T14" s="5">
        <v>31</v>
      </c>
      <c r="U14" s="5">
        <v>10</v>
      </c>
      <c r="V14" s="5">
        <v>17</v>
      </c>
      <c r="W14" s="5">
        <v>20</v>
      </c>
      <c r="X14" s="8" t="s">
        <v>0</v>
      </c>
      <c r="Y14" s="5">
        <v>10</v>
      </c>
      <c r="Z14" s="5">
        <v>21</v>
      </c>
      <c r="AA14" s="8" t="s">
        <v>0</v>
      </c>
      <c r="AB14" s="5">
        <v>53</v>
      </c>
      <c r="AC14" s="5">
        <v>58</v>
      </c>
      <c r="AD14" s="5">
        <v>189</v>
      </c>
      <c r="AE14" s="5">
        <v>38</v>
      </c>
    </row>
    <row r="17" spans="1:31" x14ac:dyDescent="0.2">
      <c r="D17" s="2" t="s">
        <v>40</v>
      </c>
      <c r="E17" s="2">
        <f>COUNTIF(C2:AE14, "NT")</f>
        <v>27</v>
      </c>
    </row>
    <row r="22" spans="1:31" s="5" customFormat="1" x14ac:dyDescent="0.2">
      <c r="A22" s="5">
        <v>13088</v>
      </c>
      <c r="B22" s="1" t="s">
        <v>2</v>
      </c>
      <c r="C22" s="5">
        <v>6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7" t="s">
        <v>0</v>
      </c>
      <c r="S22" s="7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5">
        <v>22</v>
      </c>
      <c r="AA22" s="8" t="s">
        <v>0</v>
      </c>
      <c r="AB22" s="8" t="s">
        <v>0</v>
      </c>
      <c r="AC22" s="8" t="s">
        <v>0</v>
      </c>
      <c r="AD22" s="8" t="s">
        <v>0</v>
      </c>
      <c r="AE22" s="8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4"/>
  <sheetViews>
    <sheetView topLeftCell="S1" workbookViewId="0">
      <selection activeCell="AO6" sqref="AO6"/>
    </sheetView>
  </sheetViews>
  <sheetFormatPr baseColWidth="10" defaultColWidth="8.83203125" defaultRowHeight="15" x14ac:dyDescent="0.2"/>
  <sheetData>
    <row r="1" spans="1:31" s="5" customFormat="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s="5" customFormat="1" x14ac:dyDescent="0.2">
      <c r="A2" s="5">
        <v>2103</v>
      </c>
      <c r="B2" s="1" t="s">
        <v>3</v>
      </c>
      <c r="C2" s="5">
        <v>14</v>
      </c>
      <c r="D2" s="5">
        <v>16</v>
      </c>
      <c r="E2" s="5">
        <v>8</v>
      </c>
      <c r="F2" s="5">
        <v>32</v>
      </c>
      <c r="G2" s="3">
        <v>32.075471698113205</v>
      </c>
      <c r="H2" s="3">
        <v>3.3333333333333335</v>
      </c>
      <c r="I2" s="3">
        <v>56.521739130434781</v>
      </c>
      <c r="J2" s="5">
        <v>26</v>
      </c>
      <c r="K2" s="5">
        <v>1</v>
      </c>
      <c r="L2" s="5">
        <v>1</v>
      </c>
      <c r="M2" s="5">
        <v>1</v>
      </c>
      <c r="N2" s="8" t="s">
        <v>0</v>
      </c>
      <c r="O2" s="5">
        <v>54</v>
      </c>
      <c r="P2" s="5">
        <v>6</v>
      </c>
      <c r="Q2" s="5">
        <v>6</v>
      </c>
      <c r="R2" s="3">
        <v>-127</v>
      </c>
      <c r="S2" s="3">
        <v>-317</v>
      </c>
      <c r="T2" s="5">
        <v>46</v>
      </c>
      <c r="U2" s="5">
        <v>29</v>
      </c>
      <c r="V2" s="5">
        <v>19</v>
      </c>
      <c r="W2" s="5">
        <v>22</v>
      </c>
      <c r="X2" s="5">
        <v>31</v>
      </c>
      <c r="Y2" s="5">
        <v>28</v>
      </c>
      <c r="Z2" s="5">
        <v>29</v>
      </c>
      <c r="AA2" s="5">
        <v>27</v>
      </c>
      <c r="AB2" s="5">
        <v>62</v>
      </c>
      <c r="AC2" s="5">
        <v>88</v>
      </c>
      <c r="AD2" s="5">
        <v>198</v>
      </c>
      <c r="AE2" s="5">
        <v>50</v>
      </c>
    </row>
    <row r="3" spans="1:31" s="5" customFormat="1" x14ac:dyDescent="0.2">
      <c r="A3" s="5">
        <v>7352</v>
      </c>
      <c r="B3" s="1" t="s">
        <v>3</v>
      </c>
      <c r="C3" s="5">
        <v>26</v>
      </c>
      <c r="D3" s="5">
        <v>32</v>
      </c>
      <c r="E3" s="5">
        <v>19</v>
      </c>
      <c r="F3" s="5">
        <v>33</v>
      </c>
      <c r="G3" s="3">
        <v>67.924528301886795</v>
      </c>
      <c r="H3" s="3">
        <v>50</v>
      </c>
      <c r="I3" s="3">
        <v>82.608695652173907</v>
      </c>
      <c r="J3" s="5">
        <v>39</v>
      </c>
      <c r="K3" s="5">
        <v>17</v>
      </c>
      <c r="L3" s="5">
        <v>16</v>
      </c>
      <c r="M3" s="5">
        <v>7</v>
      </c>
      <c r="N3" s="5">
        <v>30</v>
      </c>
      <c r="O3" s="5">
        <v>60</v>
      </c>
      <c r="P3" s="5">
        <v>8</v>
      </c>
      <c r="Q3" s="5">
        <v>6</v>
      </c>
      <c r="R3" s="3">
        <v>-36</v>
      </c>
      <c r="S3" s="3">
        <v>-73</v>
      </c>
      <c r="T3" s="5">
        <v>55</v>
      </c>
      <c r="U3" s="5">
        <v>43</v>
      </c>
      <c r="V3" s="5">
        <v>21</v>
      </c>
      <c r="W3" s="5">
        <v>22</v>
      </c>
      <c r="X3" s="5">
        <v>31</v>
      </c>
      <c r="Y3" s="5">
        <v>30</v>
      </c>
      <c r="Z3" s="5">
        <v>30</v>
      </c>
      <c r="AA3" s="5">
        <v>36</v>
      </c>
      <c r="AB3" s="5">
        <v>65</v>
      </c>
      <c r="AC3" s="5">
        <v>88</v>
      </c>
      <c r="AD3" s="5">
        <v>220</v>
      </c>
      <c r="AE3" s="5">
        <v>59</v>
      </c>
    </row>
    <row r="4" spans="1:31" s="5" customFormat="1" x14ac:dyDescent="0.2">
      <c r="A4" s="5">
        <v>8961</v>
      </c>
      <c r="B4" s="1" t="s">
        <v>3</v>
      </c>
      <c r="C4" s="5">
        <v>25</v>
      </c>
      <c r="D4" s="5">
        <v>26</v>
      </c>
      <c r="E4" s="5">
        <v>15</v>
      </c>
      <c r="F4" s="5">
        <v>31</v>
      </c>
      <c r="G4" s="3">
        <v>54.716981132075468</v>
      </c>
      <c r="H4" s="3">
        <v>46.666666666666664</v>
      </c>
      <c r="I4" s="3">
        <v>65.217391304347828</v>
      </c>
      <c r="J4" s="5">
        <v>33</v>
      </c>
      <c r="K4" s="5">
        <v>4</v>
      </c>
      <c r="L4" s="5">
        <v>3</v>
      </c>
      <c r="M4" s="5">
        <v>6</v>
      </c>
      <c r="N4" s="5">
        <v>17</v>
      </c>
      <c r="O4" s="5">
        <v>48</v>
      </c>
      <c r="P4" s="5">
        <v>7</v>
      </c>
      <c r="Q4" s="5">
        <v>3</v>
      </c>
      <c r="R4" s="3">
        <v>-89</v>
      </c>
      <c r="S4" s="3">
        <v>-343</v>
      </c>
      <c r="T4" s="5">
        <v>45</v>
      </c>
      <c r="U4" s="5">
        <v>35</v>
      </c>
      <c r="V4" s="5">
        <v>18</v>
      </c>
      <c r="W4" s="5">
        <v>21</v>
      </c>
      <c r="X4" s="5">
        <v>32</v>
      </c>
      <c r="Y4" s="5">
        <v>18</v>
      </c>
      <c r="Z4" s="5">
        <v>30</v>
      </c>
      <c r="AA4" s="5">
        <v>24</v>
      </c>
      <c r="AB4" s="5">
        <v>62</v>
      </c>
      <c r="AC4" s="5">
        <v>71</v>
      </c>
      <c r="AD4" s="5">
        <v>192</v>
      </c>
      <c r="AE4" s="5">
        <v>44</v>
      </c>
    </row>
    <row r="5" spans="1:31" s="5" customFormat="1" x14ac:dyDescent="0.2">
      <c r="A5" s="5">
        <v>11264</v>
      </c>
      <c r="B5" s="1" t="s">
        <v>3</v>
      </c>
      <c r="C5" s="5">
        <v>21</v>
      </c>
      <c r="D5" s="5">
        <v>23</v>
      </c>
      <c r="E5" s="5">
        <v>12</v>
      </c>
      <c r="F5" s="5">
        <v>32</v>
      </c>
      <c r="G5" s="3">
        <v>49.056603773584904</v>
      </c>
      <c r="H5" s="3">
        <v>13.333333333333334</v>
      </c>
      <c r="I5" s="3">
        <v>65.217391304347828</v>
      </c>
      <c r="J5" s="5">
        <v>31</v>
      </c>
      <c r="K5" s="5">
        <v>13</v>
      </c>
      <c r="L5" s="5">
        <v>14</v>
      </c>
      <c r="M5" s="5">
        <v>7</v>
      </c>
      <c r="N5" s="5">
        <v>17</v>
      </c>
      <c r="O5" s="5">
        <v>50</v>
      </c>
      <c r="P5" s="5">
        <v>5</v>
      </c>
      <c r="Q5" s="5">
        <v>3</v>
      </c>
      <c r="R5" s="3">
        <v>-61</v>
      </c>
      <c r="S5" s="3">
        <v>-316</v>
      </c>
      <c r="T5" s="5">
        <v>54</v>
      </c>
      <c r="U5" s="5">
        <v>38</v>
      </c>
      <c r="V5" s="5">
        <v>19</v>
      </c>
      <c r="W5" s="5">
        <v>22</v>
      </c>
      <c r="X5" s="5">
        <v>30</v>
      </c>
      <c r="Y5" s="5">
        <v>29</v>
      </c>
      <c r="Z5" s="5">
        <v>29</v>
      </c>
      <c r="AA5" s="5">
        <v>35</v>
      </c>
      <c r="AB5" s="5">
        <v>46</v>
      </c>
      <c r="AC5" s="5">
        <v>78</v>
      </c>
      <c r="AD5" s="5">
        <v>205</v>
      </c>
      <c r="AE5" s="5">
        <v>54</v>
      </c>
    </row>
    <row r="6" spans="1:31" s="5" customFormat="1" x14ac:dyDescent="0.2">
      <c r="A6" s="5">
        <v>11634</v>
      </c>
      <c r="B6" s="1" t="s">
        <v>3</v>
      </c>
      <c r="C6" s="5">
        <v>23</v>
      </c>
      <c r="D6" s="5">
        <v>23</v>
      </c>
      <c r="E6" s="5">
        <v>2</v>
      </c>
      <c r="F6" s="5">
        <v>30</v>
      </c>
      <c r="G6" s="8" t="s">
        <v>0</v>
      </c>
      <c r="H6" s="8" t="s">
        <v>0</v>
      </c>
      <c r="I6" s="8" t="s">
        <v>0</v>
      </c>
      <c r="J6" s="5">
        <v>35</v>
      </c>
      <c r="K6" s="5">
        <v>7</v>
      </c>
      <c r="L6" s="5">
        <v>0</v>
      </c>
      <c r="M6" s="5">
        <v>0</v>
      </c>
      <c r="N6" s="5">
        <v>26</v>
      </c>
      <c r="O6" s="5">
        <v>57</v>
      </c>
      <c r="P6" s="5">
        <v>6</v>
      </c>
      <c r="Q6" s="5">
        <v>4</v>
      </c>
      <c r="R6" s="3">
        <v>-58</v>
      </c>
      <c r="S6" s="3">
        <v>-123</v>
      </c>
      <c r="T6" s="5">
        <v>43</v>
      </c>
      <c r="U6" s="5">
        <v>28</v>
      </c>
      <c r="V6" s="5">
        <v>22</v>
      </c>
      <c r="W6" s="5">
        <v>22</v>
      </c>
      <c r="X6" s="5">
        <v>32</v>
      </c>
      <c r="Y6" s="5">
        <v>30</v>
      </c>
      <c r="Z6" s="5">
        <v>30</v>
      </c>
      <c r="AA6" s="5">
        <v>37</v>
      </c>
      <c r="AB6" s="5">
        <v>62</v>
      </c>
      <c r="AC6" s="5">
        <v>87</v>
      </c>
      <c r="AD6" s="5">
        <v>208</v>
      </c>
      <c r="AE6" s="5">
        <v>56</v>
      </c>
    </row>
    <row r="7" spans="1:31" s="5" customFormat="1" x14ac:dyDescent="0.2">
      <c r="A7" s="5">
        <v>12257</v>
      </c>
      <c r="B7" s="1" t="s">
        <v>3</v>
      </c>
      <c r="C7" s="5">
        <v>18</v>
      </c>
      <c r="D7" s="5">
        <v>15</v>
      </c>
      <c r="E7" s="5">
        <v>1</v>
      </c>
      <c r="F7" s="5">
        <v>19</v>
      </c>
      <c r="G7" s="3">
        <v>33.962264150943398</v>
      </c>
      <c r="H7" s="8" t="s">
        <v>0</v>
      </c>
      <c r="I7" s="3">
        <v>39.130434782608695</v>
      </c>
      <c r="J7" s="5">
        <v>36</v>
      </c>
      <c r="K7" s="5">
        <v>1</v>
      </c>
      <c r="L7" s="8" t="s">
        <v>0</v>
      </c>
      <c r="M7" s="5">
        <v>1</v>
      </c>
      <c r="N7" s="5">
        <v>18</v>
      </c>
      <c r="O7" s="5">
        <v>59</v>
      </c>
      <c r="P7" s="5">
        <v>5</v>
      </c>
      <c r="Q7" s="5">
        <v>5</v>
      </c>
      <c r="R7" s="3">
        <v>-76</v>
      </c>
      <c r="S7" s="3">
        <v>-114</v>
      </c>
      <c r="T7" s="5">
        <v>50</v>
      </c>
      <c r="U7" s="5">
        <v>22</v>
      </c>
      <c r="V7" s="5">
        <v>22</v>
      </c>
      <c r="W7" s="5">
        <v>22</v>
      </c>
      <c r="X7" s="5">
        <v>29</v>
      </c>
      <c r="Y7" s="5">
        <v>30</v>
      </c>
      <c r="Z7" s="5">
        <v>30</v>
      </c>
      <c r="AA7" s="5">
        <v>34</v>
      </c>
      <c r="AB7" s="5">
        <v>65</v>
      </c>
      <c r="AC7" s="5">
        <v>86</v>
      </c>
      <c r="AD7" s="5">
        <v>206</v>
      </c>
      <c r="AE7" s="5">
        <v>52</v>
      </c>
    </row>
    <row r="8" spans="1:31" s="5" customFormat="1" x14ac:dyDescent="0.2">
      <c r="A8" s="5">
        <v>12813</v>
      </c>
      <c r="B8" s="1" t="s">
        <v>3</v>
      </c>
      <c r="C8" s="5">
        <v>24</v>
      </c>
      <c r="D8" s="5">
        <v>19</v>
      </c>
      <c r="E8" s="5">
        <v>14</v>
      </c>
      <c r="F8" s="5">
        <v>34</v>
      </c>
      <c r="G8" s="3">
        <v>44</v>
      </c>
      <c r="H8" s="3">
        <v>42</v>
      </c>
      <c r="I8" s="3">
        <v>69.230769230769226</v>
      </c>
      <c r="J8" s="5">
        <v>40</v>
      </c>
      <c r="K8" s="5">
        <v>49</v>
      </c>
      <c r="L8" s="5">
        <v>19</v>
      </c>
      <c r="M8" s="5">
        <v>9</v>
      </c>
      <c r="N8" s="5">
        <v>22</v>
      </c>
      <c r="O8" s="5">
        <v>60</v>
      </c>
      <c r="P8" s="5">
        <v>8</v>
      </c>
      <c r="Q8" s="5">
        <v>4</v>
      </c>
      <c r="R8" s="3">
        <v>-52</v>
      </c>
      <c r="S8" s="3">
        <v>-84</v>
      </c>
      <c r="T8" s="5">
        <v>54</v>
      </c>
      <c r="U8" s="5">
        <v>41</v>
      </c>
      <c r="V8" s="5">
        <v>22</v>
      </c>
      <c r="W8" s="5">
        <v>22</v>
      </c>
      <c r="X8" s="5">
        <v>32</v>
      </c>
      <c r="Y8" s="5">
        <v>30</v>
      </c>
      <c r="Z8" s="5">
        <v>30</v>
      </c>
      <c r="AA8" s="5">
        <v>34</v>
      </c>
      <c r="AB8" s="5">
        <v>61</v>
      </c>
      <c r="AC8" s="5">
        <v>88</v>
      </c>
      <c r="AD8" s="5">
        <v>213</v>
      </c>
      <c r="AE8" s="5">
        <v>54</v>
      </c>
    </row>
    <row r="9" spans="1:31" s="5" customFormat="1" x14ac:dyDescent="0.2">
      <c r="A9" s="5">
        <v>11633</v>
      </c>
      <c r="B9" s="1" t="s">
        <v>3</v>
      </c>
      <c r="C9" s="5">
        <v>24</v>
      </c>
      <c r="D9" s="5">
        <v>23</v>
      </c>
      <c r="E9" s="5">
        <v>1</v>
      </c>
      <c r="F9" s="5">
        <v>18</v>
      </c>
      <c r="G9" s="3">
        <v>56.60377358490566</v>
      </c>
      <c r="H9" s="3">
        <v>0</v>
      </c>
      <c r="I9" s="3">
        <v>56.521739130434781</v>
      </c>
      <c r="J9" s="5">
        <v>34</v>
      </c>
      <c r="K9" s="5">
        <v>1</v>
      </c>
      <c r="L9" s="5">
        <v>0</v>
      </c>
      <c r="M9" s="5">
        <v>2</v>
      </c>
      <c r="N9" s="8" t="s">
        <v>0</v>
      </c>
      <c r="O9" s="5">
        <v>57</v>
      </c>
      <c r="P9" s="5">
        <v>8</v>
      </c>
      <c r="Q9" s="5">
        <v>5</v>
      </c>
      <c r="R9" s="3">
        <v>-82</v>
      </c>
      <c r="S9" s="3">
        <v>-128</v>
      </c>
      <c r="T9" s="5">
        <v>47</v>
      </c>
      <c r="U9" s="5">
        <v>37</v>
      </c>
      <c r="V9" s="5">
        <v>22</v>
      </c>
      <c r="W9" s="5">
        <v>21</v>
      </c>
      <c r="X9" s="5">
        <v>28</v>
      </c>
      <c r="Y9" s="5">
        <v>30</v>
      </c>
      <c r="Z9" s="5">
        <v>30</v>
      </c>
      <c r="AA9" s="5">
        <v>18</v>
      </c>
      <c r="AB9" s="5">
        <v>64</v>
      </c>
      <c r="AC9" s="5">
        <v>88</v>
      </c>
      <c r="AD9" s="5">
        <v>209</v>
      </c>
      <c r="AE9" s="5">
        <v>51</v>
      </c>
    </row>
    <row r="10" spans="1:31" s="5" customFormat="1" x14ac:dyDescent="0.2">
      <c r="A10" s="5">
        <v>13442</v>
      </c>
      <c r="B10" s="1" t="s">
        <v>3</v>
      </c>
      <c r="C10" s="5">
        <v>24</v>
      </c>
      <c r="D10" s="5">
        <v>25</v>
      </c>
      <c r="E10" s="5">
        <v>10</v>
      </c>
      <c r="F10" s="5">
        <v>4</v>
      </c>
      <c r="G10" s="3">
        <v>38</v>
      </c>
      <c r="H10" s="3">
        <v>8</v>
      </c>
      <c r="I10" s="3">
        <v>43.589743589743591</v>
      </c>
      <c r="J10" s="5">
        <v>39</v>
      </c>
      <c r="K10" s="5">
        <v>1</v>
      </c>
      <c r="L10" s="5">
        <v>5</v>
      </c>
      <c r="M10" s="5">
        <v>5</v>
      </c>
      <c r="N10" s="5">
        <v>15</v>
      </c>
      <c r="O10" s="5">
        <v>60</v>
      </c>
      <c r="P10" s="5">
        <v>8</v>
      </c>
      <c r="Q10" s="5">
        <v>4</v>
      </c>
      <c r="R10" s="3">
        <v>-51</v>
      </c>
      <c r="S10" s="3">
        <v>-165</v>
      </c>
      <c r="T10" s="5">
        <v>52</v>
      </c>
      <c r="U10" s="5">
        <v>27</v>
      </c>
      <c r="V10" s="5">
        <v>22</v>
      </c>
      <c r="W10" s="5">
        <v>22</v>
      </c>
      <c r="X10" s="5">
        <v>29</v>
      </c>
      <c r="Y10" s="5">
        <v>30</v>
      </c>
      <c r="Z10" s="5">
        <v>30</v>
      </c>
      <c r="AA10" s="5">
        <v>37</v>
      </c>
      <c r="AB10" s="5">
        <v>65</v>
      </c>
      <c r="AC10" s="5">
        <v>88</v>
      </c>
      <c r="AD10" s="5">
        <v>213</v>
      </c>
      <c r="AE10" s="5">
        <v>55</v>
      </c>
    </row>
    <row r="11" spans="1:31" s="5" customFormat="1" x14ac:dyDescent="0.2">
      <c r="A11" s="5">
        <v>13773</v>
      </c>
      <c r="B11" s="1" t="s">
        <v>3</v>
      </c>
      <c r="C11" s="5">
        <v>20</v>
      </c>
      <c r="D11" s="5">
        <v>19</v>
      </c>
      <c r="E11" s="5">
        <v>0</v>
      </c>
      <c r="F11" s="5">
        <v>20</v>
      </c>
      <c r="G11" s="3">
        <v>26.415094339622641</v>
      </c>
      <c r="H11" s="3">
        <v>0</v>
      </c>
      <c r="I11" s="3">
        <v>43.478260869565219</v>
      </c>
      <c r="J11" s="5">
        <v>38</v>
      </c>
      <c r="K11" s="5">
        <v>2</v>
      </c>
      <c r="L11" s="5">
        <v>0</v>
      </c>
      <c r="M11" s="5">
        <v>2</v>
      </c>
      <c r="N11" s="5">
        <v>20</v>
      </c>
      <c r="O11" s="5">
        <v>58</v>
      </c>
      <c r="P11" s="5">
        <v>7</v>
      </c>
      <c r="Q11" s="5">
        <v>4</v>
      </c>
      <c r="R11" s="3">
        <v>-39</v>
      </c>
      <c r="S11" s="3">
        <v>-133</v>
      </c>
      <c r="T11" s="5">
        <v>51</v>
      </c>
      <c r="U11" s="5">
        <v>52</v>
      </c>
      <c r="V11" s="5">
        <v>22</v>
      </c>
      <c r="W11" s="5">
        <v>22</v>
      </c>
      <c r="X11" s="5">
        <v>28</v>
      </c>
      <c r="Y11" s="5">
        <v>28</v>
      </c>
      <c r="Z11" s="5">
        <v>29</v>
      </c>
      <c r="AA11" s="5">
        <v>39</v>
      </c>
      <c r="AB11" s="5">
        <v>43</v>
      </c>
      <c r="AC11" s="5">
        <v>88</v>
      </c>
      <c r="AD11" s="5">
        <v>218</v>
      </c>
      <c r="AE11" s="5">
        <v>43</v>
      </c>
    </row>
    <row r="14" spans="1:31" x14ac:dyDescent="0.2">
      <c r="D14" s="2" t="s">
        <v>39</v>
      </c>
      <c r="E14">
        <f>COUNTIF(C2:AE11, "NT")</f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6"/>
  <sheetViews>
    <sheetView topLeftCell="K1" workbookViewId="0">
      <selection activeCell="O28" sqref="O28"/>
    </sheetView>
  </sheetViews>
  <sheetFormatPr baseColWidth="10" defaultColWidth="8.83203125" defaultRowHeight="15" x14ac:dyDescent="0.2"/>
  <sheetData>
    <row r="1" spans="1:3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x14ac:dyDescent="0.2">
      <c r="A2" s="3">
        <v>1144</v>
      </c>
      <c r="B2" s="3" t="s">
        <v>35</v>
      </c>
      <c r="C2" s="3">
        <v>26</v>
      </c>
      <c r="D2" s="3">
        <v>35</v>
      </c>
      <c r="E2" s="3">
        <v>24</v>
      </c>
      <c r="F2" s="3">
        <v>36</v>
      </c>
      <c r="G2" s="3">
        <v>57.999999999999993</v>
      </c>
      <c r="H2" s="3">
        <v>48</v>
      </c>
      <c r="I2" s="3">
        <v>64.102564102564102</v>
      </c>
      <c r="J2" s="3">
        <v>48</v>
      </c>
      <c r="K2" s="3">
        <v>20</v>
      </c>
      <c r="L2" s="3">
        <v>20</v>
      </c>
      <c r="M2" s="3">
        <v>10</v>
      </c>
      <c r="N2" s="3">
        <v>28</v>
      </c>
      <c r="O2" s="3">
        <v>60</v>
      </c>
      <c r="P2" s="3">
        <v>7</v>
      </c>
      <c r="Q2" s="3">
        <v>4</v>
      </c>
      <c r="R2" s="3">
        <v>-41</v>
      </c>
      <c r="S2" s="3">
        <v>-112</v>
      </c>
      <c r="T2" s="3">
        <v>49</v>
      </c>
      <c r="U2" s="3">
        <v>26</v>
      </c>
      <c r="V2" s="3">
        <v>22</v>
      </c>
      <c r="W2" s="3">
        <v>22</v>
      </c>
      <c r="X2" s="3">
        <v>32</v>
      </c>
      <c r="Y2" s="3">
        <v>30</v>
      </c>
      <c r="Z2" s="3">
        <v>30</v>
      </c>
      <c r="AA2" s="3">
        <v>40</v>
      </c>
      <c r="AB2" s="3">
        <v>65</v>
      </c>
      <c r="AC2" s="3">
        <v>88</v>
      </c>
      <c r="AD2" s="3">
        <v>201</v>
      </c>
      <c r="AE2" s="3">
        <v>53</v>
      </c>
    </row>
    <row r="3" spans="1:31" x14ac:dyDescent="0.2">
      <c r="A3" s="3">
        <v>2571</v>
      </c>
      <c r="B3" s="3" t="s">
        <v>35</v>
      </c>
      <c r="C3" s="3">
        <v>27</v>
      </c>
      <c r="D3" s="3">
        <v>32</v>
      </c>
      <c r="E3" s="3">
        <v>15</v>
      </c>
      <c r="F3" s="3">
        <v>36</v>
      </c>
      <c r="G3" s="3">
        <v>75.471698113207552</v>
      </c>
      <c r="H3" s="3">
        <v>70</v>
      </c>
      <c r="I3" s="3">
        <v>86.956521739130437</v>
      </c>
      <c r="J3" s="3">
        <v>32</v>
      </c>
      <c r="K3" s="3">
        <v>19</v>
      </c>
      <c r="L3" s="3">
        <v>17</v>
      </c>
      <c r="M3" s="3">
        <v>10</v>
      </c>
      <c r="N3" s="3">
        <v>29</v>
      </c>
      <c r="O3" s="3">
        <v>58</v>
      </c>
      <c r="P3" s="3">
        <v>9</v>
      </c>
      <c r="Q3" s="3">
        <v>7</v>
      </c>
      <c r="R3" s="3">
        <v>-34</v>
      </c>
      <c r="S3" s="3">
        <v>-42</v>
      </c>
      <c r="T3" s="3">
        <v>60</v>
      </c>
      <c r="U3" s="3">
        <v>57</v>
      </c>
      <c r="V3" s="3">
        <v>21</v>
      </c>
      <c r="W3" s="3">
        <v>22</v>
      </c>
      <c r="X3" s="3">
        <v>30</v>
      </c>
      <c r="Y3" s="3">
        <v>30</v>
      </c>
      <c r="Z3" s="3">
        <v>30</v>
      </c>
      <c r="AA3" s="3">
        <v>38</v>
      </c>
      <c r="AB3" s="3">
        <v>64</v>
      </c>
      <c r="AC3" s="3">
        <v>88</v>
      </c>
      <c r="AD3" s="3">
        <v>218</v>
      </c>
      <c r="AE3" s="3">
        <v>61</v>
      </c>
    </row>
    <row r="4" spans="1:31" x14ac:dyDescent="0.2">
      <c r="A4" s="3">
        <v>5015</v>
      </c>
      <c r="B4" s="3" t="s">
        <v>35</v>
      </c>
      <c r="C4" s="3">
        <v>23</v>
      </c>
      <c r="D4" s="3">
        <v>12</v>
      </c>
      <c r="E4" s="3">
        <v>16</v>
      </c>
      <c r="F4" s="3">
        <v>35</v>
      </c>
      <c r="G4" s="3">
        <v>26.415094339622641</v>
      </c>
      <c r="H4" s="3">
        <v>30</v>
      </c>
      <c r="I4" s="3">
        <v>69.565217391304344</v>
      </c>
      <c r="J4" s="3">
        <v>44</v>
      </c>
      <c r="K4" s="3">
        <v>18</v>
      </c>
      <c r="L4" s="3">
        <v>18</v>
      </c>
      <c r="M4" s="3">
        <v>8</v>
      </c>
      <c r="N4" s="3">
        <v>30</v>
      </c>
      <c r="O4" s="3">
        <v>58</v>
      </c>
      <c r="P4" s="3">
        <v>6</v>
      </c>
      <c r="Q4" s="3">
        <v>5</v>
      </c>
      <c r="R4" s="3">
        <v>-91</v>
      </c>
      <c r="S4" s="3">
        <v>-231</v>
      </c>
      <c r="T4" s="3">
        <v>58</v>
      </c>
      <c r="U4" s="3">
        <v>23</v>
      </c>
      <c r="V4" s="3">
        <v>18</v>
      </c>
      <c r="W4" s="3">
        <v>22</v>
      </c>
      <c r="X4" s="3">
        <v>31</v>
      </c>
      <c r="Y4" s="3">
        <v>30</v>
      </c>
      <c r="Z4" s="3">
        <v>30</v>
      </c>
      <c r="AA4" s="3">
        <v>38</v>
      </c>
      <c r="AB4" s="3">
        <v>65</v>
      </c>
      <c r="AC4" s="3">
        <v>88</v>
      </c>
      <c r="AD4" s="3">
        <v>220</v>
      </c>
      <c r="AE4" s="3">
        <v>55</v>
      </c>
    </row>
    <row r="5" spans="1:31" x14ac:dyDescent="0.2">
      <c r="A5" s="3">
        <v>5228</v>
      </c>
      <c r="B5" s="3" t="s">
        <v>35</v>
      </c>
      <c r="C5" s="3">
        <v>25</v>
      </c>
      <c r="D5" s="3">
        <v>22</v>
      </c>
      <c r="E5" s="3">
        <v>16</v>
      </c>
      <c r="F5" s="3">
        <v>35</v>
      </c>
      <c r="G5" s="3">
        <v>69.811320754716974</v>
      </c>
      <c r="H5" s="3">
        <v>76.666666666666671</v>
      </c>
      <c r="I5" s="3">
        <v>86.956521739130437</v>
      </c>
      <c r="J5" s="3">
        <v>40</v>
      </c>
      <c r="K5" s="3">
        <v>13</v>
      </c>
      <c r="L5" s="3">
        <v>13</v>
      </c>
      <c r="M5" s="3">
        <v>5</v>
      </c>
      <c r="N5" s="3">
        <v>30</v>
      </c>
      <c r="O5" s="3">
        <v>60</v>
      </c>
      <c r="P5" s="3">
        <v>5</v>
      </c>
      <c r="Q5" s="3">
        <v>5</v>
      </c>
      <c r="R5" s="3">
        <v>-38</v>
      </c>
      <c r="S5" s="3">
        <v>-120</v>
      </c>
      <c r="T5" s="3">
        <v>60</v>
      </c>
      <c r="U5" s="3">
        <v>35</v>
      </c>
      <c r="V5" s="3">
        <v>21</v>
      </c>
      <c r="W5" s="3">
        <v>22</v>
      </c>
      <c r="X5" s="3">
        <v>31</v>
      </c>
      <c r="Y5" s="3">
        <v>30</v>
      </c>
      <c r="Z5" s="3">
        <v>30</v>
      </c>
      <c r="AA5" s="3">
        <v>38</v>
      </c>
      <c r="AB5" s="3">
        <v>62</v>
      </c>
      <c r="AC5" s="3">
        <v>88</v>
      </c>
      <c r="AD5" s="3">
        <v>222</v>
      </c>
      <c r="AE5" s="3">
        <v>55</v>
      </c>
    </row>
    <row r="6" spans="1:31" x14ac:dyDescent="0.2">
      <c r="A6" s="3">
        <v>6819</v>
      </c>
      <c r="B6" s="3" t="s">
        <v>35</v>
      </c>
      <c r="C6" s="3">
        <v>30</v>
      </c>
      <c r="D6" s="3">
        <v>31</v>
      </c>
      <c r="E6" s="3">
        <v>13</v>
      </c>
      <c r="F6" s="3">
        <v>35</v>
      </c>
      <c r="G6" s="3">
        <v>49.056603773584904</v>
      </c>
      <c r="H6" s="3">
        <v>23.333333333333332</v>
      </c>
      <c r="I6" s="3">
        <v>73.91304347826086</v>
      </c>
      <c r="J6" s="3">
        <v>33</v>
      </c>
      <c r="K6" s="3">
        <v>17</v>
      </c>
      <c r="L6" s="3">
        <v>17</v>
      </c>
      <c r="M6" s="3">
        <v>9</v>
      </c>
      <c r="N6" s="3">
        <v>23</v>
      </c>
      <c r="O6" s="3">
        <v>59</v>
      </c>
      <c r="P6" s="3">
        <v>7</v>
      </c>
      <c r="Q6" s="3">
        <v>5</v>
      </c>
      <c r="R6" s="3">
        <v>-42</v>
      </c>
      <c r="S6" s="3">
        <v>-77</v>
      </c>
      <c r="T6" s="3">
        <v>58</v>
      </c>
      <c r="U6" s="3">
        <v>61</v>
      </c>
      <c r="V6" s="3">
        <v>22</v>
      </c>
      <c r="W6" s="3">
        <v>22</v>
      </c>
      <c r="X6" s="3">
        <v>32</v>
      </c>
      <c r="Y6" s="3">
        <v>30</v>
      </c>
      <c r="Z6" s="3">
        <v>28</v>
      </c>
      <c r="AA6" s="3">
        <v>36</v>
      </c>
      <c r="AB6" s="3">
        <v>61</v>
      </c>
      <c r="AC6" s="3">
        <v>88</v>
      </c>
      <c r="AD6" s="3">
        <v>215</v>
      </c>
      <c r="AE6" s="3">
        <v>56</v>
      </c>
    </row>
    <row r="7" spans="1:31" x14ac:dyDescent="0.2">
      <c r="A7" s="3">
        <v>7522</v>
      </c>
      <c r="B7" s="3" t="s">
        <v>35</v>
      </c>
      <c r="C7" s="3">
        <v>25</v>
      </c>
      <c r="D7" s="3">
        <v>34</v>
      </c>
      <c r="E7" s="3">
        <v>19</v>
      </c>
      <c r="F7" s="3">
        <v>36</v>
      </c>
      <c r="G7" s="3">
        <v>60.377358490566039</v>
      </c>
      <c r="H7" s="3">
        <v>66.666666666666657</v>
      </c>
      <c r="I7" s="3">
        <v>91.304347826086953</v>
      </c>
      <c r="J7" s="3">
        <v>40</v>
      </c>
      <c r="K7" s="3">
        <v>17</v>
      </c>
      <c r="L7" s="3">
        <v>15</v>
      </c>
      <c r="M7" s="3">
        <v>10</v>
      </c>
      <c r="N7" s="3">
        <v>29</v>
      </c>
      <c r="O7" s="3">
        <v>58</v>
      </c>
      <c r="P7" s="3">
        <v>5</v>
      </c>
      <c r="Q7" s="3">
        <v>4</v>
      </c>
      <c r="R7" s="3">
        <v>-90</v>
      </c>
      <c r="S7" s="3">
        <v>-108</v>
      </c>
      <c r="T7" s="3">
        <v>58</v>
      </c>
      <c r="U7" s="3">
        <v>62</v>
      </c>
      <c r="V7" s="3">
        <v>21</v>
      </c>
      <c r="W7" s="3">
        <v>22</v>
      </c>
      <c r="X7" s="3">
        <v>31</v>
      </c>
      <c r="Y7" s="3">
        <v>30</v>
      </c>
      <c r="Z7" s="3">
        <v>30</v>
      </c>
      <c r="AA7" s="3">
        <v>40</v>
      </c>
      <c r="AB7" s="3">
        <v>65</v>
      </c>
      <c r="AC7" s="3">
        <v>88</v>
      </c>
      <c r="AD7" s="3">
        <v>215</v>
      </c>
      <c r="AE7" s="3">
        <v>56</v>
      </c>
    </row>
    <row r="8" spans="1:31" x14ac:dyDescent="0.2">
      <c r="A8" s="3">
        <v>7546</v>
      </c>
      <c r="B8" s="3" t="s">
        <v>35</v>
      </c>
      <c r="C8" s="3">
        <v>30</v>
      </c>
      <c r="D8" s="3">
        <v>44</v>
      </c>
      <c r="E8" s="3">
        <v>22</v>
      </c>
      <c r="F8" s="3">
        <v>36</v>
      </c>
      <c r="G8" s="3">
        <v>66</v>
      </c>
      <c r="H8" s="3">
        <v>62</v>
      </c>
      <c r="I8" s="3">
        <v>74.358974358974365</v>
      </c>
      <c r="J8" s="3">
        <v>49</v>
      </c>
      <c r="K8" s="3">
        <v>16</v>
      </c>
      <c r="L8" s="3">
        <v>16</v>
      </c>
      <c r="M8" s="3">
        <v>10</v>
      </c>
      <c r="N8" s="3">
        <v>28</v>
      </c>
      <c r="O8" s="3">
        <v>59</v>
      </c>
      <c r="P8" s="3">
        <v>9</v>
      </c>
      <c r="Q8" s="3">
        <v>8</v>
      </c>
      <c r="R8" s="3">
        <v>-29</v>
      </c>
      <c r="S8" s="3">
        <v>-46</v>
      </c>
      <c r="T8" s="3">
        <v>59</v>
      </c>
      <c r="U8" s="3">
        <v>89</v>
      </c>
      <c r="V8" s="3">
        <v>22</v>
      </c>
      <c r="W8" s="3">
        <v>22</v>
      </c>
      <c r="X8" s="3">
        <v>32</v>
      </c>
      <c r="Y8" s="3">
        <v>30</v>
      </c>
      <c r="Z8" s="3">
        <v>30</v>
      </c>
      <c r="AA8" s="3">
        <v>37</v>
      </c>
      <c r="AB8" s="3">
        <v>64</v>
      </c>
      <c r="AC8" s="3">
        <v>88</v>
      </c>
      <c r="AD8" s="3">
        <v>226</v>
      </c>
      <c r="AE8" s="3">
        <v>61</v>
      </c>
    </row>
    <row r="9" spans="1:31" x14ac:dyDescent="0.2">
      <c r="A9" s="3">
        <v>7973</v>
      </c>
      <c r="B9" s="3" t="s">
        <v>35</v>
      </c>
      <c r="C9" s="3">
        <v>24</v>
      </c>
      <c r="D9" s="3">
        <v>34</v>
      </c>
      <c r="E9" s="3">
        <v>17</v>
      </c>
      <c r="F9" s="3">
        <v>36</v>
      </c>
      <c r="G9" s="3">
        <v>49.056603773584904</v>
      </c>
      <c r="H9" s="3">
        <v>66.666666666666657</v>
      </c>
      <c r="I9" s="3">
        <v>91.304347826086953</v>
      </c>
      <c r="J9" s="3">
        <v>42</v>
      </c>
      <c r="K9" s="3">
        <v>18</v>
      </c>
      <c r="L9" s="3">
        <v>15</v>
      </c>
      <c r="M9" s="3">
        <v>9</v>
      </c>
      <c r="N9" s="3">
        <v>16</v>
      </c>
      <c r="O9" s="3">
        <v>57</v>
      </c>
      <c r="P9" s="3">
        <v>5</v>
      </c>
      <c r="Q9" s="3">
        <v>3</v>
      </c>
      <c r="R9" s="3">
        <v>-35</v>
      </c>
      <c r="S9" s="3">
        <v>-127</v>
      </c>
      <c r="T9" s="3">
        <v>44</v>
      </c>
      <c r="U9" s="3">
        <v>29</v>
      </c>
      <c r="V9" s="3">
        <v>18</v>
      </c>
      <c r="W9" s="3">
        <v>22</v>
      </c>
      <c r="X9" s="3">
        <v>32</v>
      </c>
      <c r="Y9" s="3">
        <v>16</v>
      </c>
      <c r="Z9" s="3">
        <v>25</v>
      </c>
      <c r="AA9" s="3">
        <v>18</v>
      </c>
      <c r="AB9" s="3">
        <v>60</v>
      </c>
      <c r="AC9" s="3">
        <v>85</v>
      </c>
      <c r="AD9" s="3">
        <v>194</v>
      </c>
      <c r="AE9" s="3">
        <v>52</v>
      </c>
    </row>
    <row r="10" spans="1:31" x14ac:dyDescent="0.2">
      <c r="A10" s="3">
        <v>8149</v>
      </c>
      <c r="B10" s="3" t="s">
        <v>35</v>
      </c>
      <c r="C10" s="3">
        <v>27</v>
      </c>
      <c r="D10" s="3">
        <v>27</v>
      </c>
      <c r="E10" s="3">
        <v>18</v>
      </c>
      <c r="F10" s="3">
        <v>34</v>
      </c>
      <c r="G10" s="3">
        <v>46</v>
      </c>
      <c r="H10" s="3">
        <v>36</v>
      </c>
      <c r="I10" s="3">
        <v>61.53846153846154</v>
      </c>
      <c r="J10" s="3">
        <v>43</v>
      </c>
      <c r="K10" s="3">
        <v>18</v>
      </c>
      <c r="L10" s="3">
        <v>18</v>
      </c>
      <c r="M10" s="3">
        <v>10</v>
      </c>
      <c r="N10" s="3">
        <v>23</v>
      </c>
      <c r="O10" s="3">
        <v>59</v>
      </c>
      <c r="P10" s="3">
        <v>6</v>
      </c>
      <c r="Q10" s="3">
        <v>5</v>
      </c>
      <c r="R10" s="3">
        <v>-54</v>
      </c>
      <c r="S10" s="3">
        <v>-95</v>
      </c>
      <c r="T10" s="3">
        <v>57</v>
      </c>
      <c r="U10" s="3">
        <v>56</v>
      </c>
      <c r="V10" s="3">
        <v>22</v>
      </c>
      <c r="W10" s="3">
        <v>21</v>
      </c>
      <c r="X10" s="3">
        <v>32</v>
      </c>
      <c r="Y10" s="3">
        <v>30</v>
      </c>
      <c r="Z10" s="3">
        <v>30</v>
      </c>
      <c r="AA10" s="3">
        <v>34</v>
      </c>
      <c r="AB10" s="3">
        <v>65</v>
      </c>
      <c r="AC10" s="3">
        <v>88</v>
      </c>
      <c r="AD10" s="3">
        <v>223</v>
      </c>
      <c r="AE10" s="3">
        <v>59</v>
      </c>
    </row>
    <row r="11" spans="1:31" x14ac:dyDescent="0.2">
      <c r="A11" s="3">
        <v>10306</v>
      </c>
      <c r="B11" s="3" t="s">
        <v>35</v>
      </c>
      <c r="C11" s="3">
        <v>27</v>
      </c>
      <c r="D11" s="3">
        <v>27</v>
      </c>
      <c r="E11" s="3">
        <v>14</v>
      </c>
      <c r="F11" s="3">
        <v>35</v>
      </c>
      <c r="G11" s="3">
        <v>81.132075471698116</v>
      </c>
      <c r="H11" s="3">
        <v>103.33333333333334</v>
      </c>
      <c r="I11" s="3">
        <v>91.304347826086953</v>
      </c>
      <c r="J11" s="3">
        <v>47</v>
      </c>
      <c r="K11" s="3">
        <v>20</v>
      </c>
      <c r="L11" s="3">
        <v>19</v>
      </c>
      <c r="M11" s="3">
        <v>10</v>
      </c>
      <c r="N11" s="3">
        <v>30</v>
      </c>
      <c r="O11" s="3">
        <v>60</v>
      </c>
      <c r="P11" s="3">
        <v>7</v>
      </c>
      <c r="Q11" s="3">
        <v>4</v>
      </c>
      <c r="R11" s="3">
        <v>-32</v>
      </c>
      <c r="S11" s="3">
        <v>-76</v>
      </c>
      <c r="T11" s="3">
        <v>60</v>
      </c>
      <c r="U11" s="3">
        <v>61</v>
      </c>
      <c r="V11" s="3">
        <v>21</v>
      </c>
      <c r="W11" s="3">
        <v>22</v>
      </c>
      <c r="X11" s="3">
        <v>31</v>
      </c>
      <c r="Y11" s="3">
        <v>30</v>
      </c>
      <c r="Z11" s="3">
        <v>30</v>
      </c>
      <c r="AA11" s="3">
        <v>30</v>
      </c>
      <c r="AB11" s="3">
        <v>63</v>
      </c>
      <c r="AC11" s="3">
        <v>88</v>
      </c>
      <c r="AD11" s="3">
        <v>227</v>
      </c>
      <c r="AE11" s="3">
        <v>57</v>
      </c>
    </row>
    <row r="12" spans="1:31" x14ac:dyDescent="0.2">
      <c r="A12" s="3">
        <v>10339</v>
      </c>
      <c r="B12" s="3" t="s">
        <v>35</v>
      </c>
      <c r="C12" s="3">
        <v>28</v>
      </c>
      <c r="D12" s="3">
        <v>35</v>
      </c>
      <c r="E12" s="3">
        <v>22</v>
      </c>
      <c r="F12" s="3">
        <v>36</v>
      </c>
      <c r="G12" s="3">
        <v>62.264150943396224</v>
      </c>
      <c r="H12" s="3">
        <v>43.333333333333336</v>
      </c>
      <c r="I12" s="3">
        <v>78.260869565217391</v>
      </c>
      <c r="J12" s="3">
        <v>45</v>
      </c>
      <c r="K12" s="3">
        <v>12</v>
      </c>
      <c r="L12" s="3">
        <v>11</v>
      </c>
      <c r="M12" s="3">
        <v>9</v>
      </c>
      <c r="N12" s="3">
        <v>24</v>
      </c>
      <c r="O12" s="3">
        <v>60</v>
      </c>
      <c r="P12" s="3">
        <v>9</v>
      </c>
      <c r="Q12" s="3">
        <v>8</v>
      </c>
      <c r="R12" s="3">
        <v>-32</v>
      </c>
      <c r="S12" s="3">
        <v>-75</v>
      </c>
      <c r="T12" s="3">
        <v>56</v>
      </c>
      <c r="U12" s="3">
        <v>75</v>
      </c>
      <c r="V12" s="3">
        <v>21</v>
      </c>
      <c r="W12" s="3">
        <v>22</v>
      </c>
      <c r="X12" s="3">
        <v>32</v>
      </c>
      <c r="Y12" s="3">
        <v>30</v>
      </c>
      <c r="Z12" s="3">
        <v>30</v>
      </c>
      <c r="AA12" s="3">
        <v>40</v>
      </c>
      <c r="AB12" s="3">
        <v>64</v>
      </c>
      <c r="AC12" s="3">
        <v>88</v>
      </c>
      <c r="AD12" s="3">
        <v>222</v>
      </c>
      <c r="AE12" s="3">
        <v>55</v>
      </c>
    </row>
    <row r="13" spans="1:31" x14ac:dyDescent="0.2">
      <c r="A13" s="3">
        <v>10347</v>
      </c>
      <c r="B13" s="3" t="s">
        <v>35</v>
      </c>
      <c r="C13" s="3">
        <v>27</v>
      </c>
      <c r="D13" s="3">
        <v>32</v>
      </c>
      <c r="E13" s="3">
        <v>16</v>
      </c>
      <c r="F13" s="3">
        <v>36</v>
      </c>
      <c r="G13" s="3">
        <v>66.037735849056602</v>
      </c>
      <c r="H13" s="3">
        <v>43.333333333333336</v>
      </c>
      <c r="I13" s="3">
        <v>73.91304347826086</v>
      </c>
      <c r="J13" s="3">
        <v>41</v>
      </c>
      <c r="K13" s="3">
        <v>6</v>
      </c>
      <c r="L13" s="3">
        <v>6</v>
      </c>
      <c r="M13" s="3">
        <v>2</v>
      </c>
      <c r="N13" s="3">
        <v>29</v>
      </c>
      <c r="O13" s="3">
        <v>60</v>
      </c>
      <c r="P13" s="3">
        <v>8</v>
      </c>
      <c r="Q13" s="3">
        <v>6</v>
      </c>
      <c r="R13" s="3">
        <v>-41</v>
      </c>
      <c r="S13" s="3">
        <v>-59</v>
      </c>
      <c r="T13" s="3">
        <v>52</v>
      </c>
      <c r="U13" s="3">
        <v>74</v>
      </c>
      <c r="V13" s="3">
        <v>19</v>
      </c>
      <c r="W13" s="3">
        <v>22</v>
      </c>
      <c r="X13" s="3">
        <v>32</v>
      </c>
      <c r="Y13" s="3">
        <v>30</v>
      </c>
      <c r="Z13" s="3">
        <v>30</v>
      </c>
      <c r="AA13" s="3">
        <v>38</v>
      </c>
      <c r="AB13" s="3">
        <v>64</v>
      </c>
      <c r="AC13" s="3">
        <v>87</v>
      </c>
      <c r="AD13" s="3">
        <v>211</v>
      </c>
      <c r="AE13" s="3">
        <v>55</v>
      </c>
    </row>
    <row r="14" spans="1:31" x14ac:dyDescent="0.2">
      <c r="A14" s="3">
        <v>10599</v>
      </c>
      <c r="B14" s="3" t="s">
        <v>35</v>
      </c>
      <c r="C14" s="3">
        <v>29</v>
      </c>
      <c r="D14" s="3">
        <v>37</v>
      </c>
      <c r="E14" s="3">
        <v>22</v>
      </c>
      <c r="F14" s="3">
        <v>36</v>
      </c>
      <c r="G14" s="3">
        <v>66</v>
      </c>
      <c r="H14" s="3">
        <v>57.999999999999993</v>
      </c>
      <c r="I14" s="3">
        <v>58.974358974358978</v>
      </c>
      <c r="J14" s="3">
        <v>47</v>
      </c>
      <c r="K14" s="3">
        <v>16</v>
      </c>
      <c r="L14" s="3">
        <v>16</v>
      </c>
      <c r="M14" s="3">
        <v>8</v>
      </c>
      <c r="N14" s="3">
        <v>25</v>
      </c>
      <c r="O14" s="3">
        <v>60</v>
      </c>
      <c r="P14" s="3">
        <v>8</v>
      </c>
      <c r="Q14" s="3">
        <v>8</v>
      </c>
      <c r="R14" s="3">
        <v>-34</v>
      </c>
      <c r="S14" s="3">
        <v>-77</v>
      </c>
      <c r="T14" s="3">
        <v>57</v>
      </c>
      <c r="U14" s="7">
        <v>51.041666666666664</v>
      </c>
      <c r="V14" s="3">
        <v>22</v>
      </c>
      <c r="W14" s="3">
        <v>22</v>
      </c>
      <c r="X14" s="3">
        <v>32</v>
      </c>
      <c r="Y14" s="3">
        <v>30</v>
      </c>
      <c r="Z14" s="3">
        <v>30</v>
      </c>
      <c r="AA14" s="3">
        <v>40</v>
      </c>
      <c r="AB14" s="3">
        <v>65</v>
      </c>
      <c r="AC14" s="3">
        <v>88</v>
      </c>
      <c r="AD14" s="3">
        <v>226</v>
      </c>
      <c r="AE14" s="3">
        <v>61</v>
      </c>
    </row>
    <row r="15" spans="1:31" x14ac:dyDescent="0.2">
      <c r="A15" s="3">
        <v>10631</v>
      </c>
      <c r="B15" s="3" t="s">
        <v>35</v>
      </c>
      <c r="C15" s="3">
        <v>27</v>
      </c>
      <c r="D15" s="3">
        <v>27</v>
      </c>
      <c r="E15" s="3">
        <v>18</v>
      </c>
      <c r="F15" s="3">
        <v>36</v>
      </c>
      <c r="G15" s="3">
        <v>57.999999999999993</v>
      </c>
      <c r="H15" s="3">
        <v>50</v>
      </c>
      <c r="I15" s="3">
        <v>71.794871794871796</v>
      </c>
      <c r="J15" s="3">
        <v>40</v>
      </c>
      <c r="K15" s="3">
        <v>14</v>
      </c>
      <c r="L15" s="3">
        <v>15</v>
      </c>
      <c r="M15" s="3">
        <v>9</v>
      </c>
      <c r="N15" s="3">
        <v>30</v>
      </c>
      <c r="O15" s="3">
        <v>60</v>
      </c>
      <c r="P15" s="3">
        <v>6</v>
      </c>
      <c r="Q15" s="3">
        <v>5</v>
      </c>
      <c r="R15" s="3">
        <v>-28</v>
      </c>
      <c r="S15" s="3">
        <v>-57</v>
      </c>
      <c r="T15" s="3">
        <v>60</v>
      </c>
      <c r="U15" s="3">
        <v>47</v>
      </c>
      <c r="V15" s="3">
        <v>22</v>
      </c>
      <c r="W15" s="3">
        <v>22</v>
      </c>
      <c r="X15" s="3">
        <v>32</v>
      </c>
      <c r="Y15" s="3">
        <v>30</v>
      </c>
      <c r="Z15" s="3">
        <v>30</v>
      </c>
      <c r="AA15" s="3">
        <v>40</v>
      </c>
      <c r="AB15" s="3">
        <v>64</v>
      </c>
      <c r="AC15" s="3">
        <v>88</v>
      </c>
      <c r="AD15" s="3">
        <v>226</v>
      </c>
      <c r="AE15" s="3">
        <v>60</v>
      </c>
    </row>
    <row r="16" spans="1:31" x14ac:dyDescent="0.2">
      <c r="A16" s="3">
        <v>10668</v>
      </c>
      <c r="B16" s="3" t="s">
        <v>35</v>
      </c>
      <c r="C16" s="3">
        <v>24</v>
      </c>
      <c r="D16" s="3">
        <v>23</v>
      </c>
      <c r="E16" s="3">
        <v>14</v>
      </c>
      <c r="F16" s="3">
        <v>36</v>
      </c>
      <c r="G16" s="3">
        <v>56.60377358490566</v>
      </c>
      <c r="H16" s="3">
        <v>66.666666666666657</v>
      </c>
      <c r="I16" s="3">
        <v>69.565217391304344</v>
      </c>
      <c r="J16" s="3">
        <v>37</v>
      </c>
      <c r="K16" s="3">
        <v>11</v>
      </c>
      <c r="L16" s="3">
        <v>11</v>
      </c>
      <c r="M16" s="3">
        <v>6</v>
      </c>
      <c r="N16" s="3">
        <v>30</v>
      </c>
      <c r="O16" s="3">
        <v>57</v>
      </c>
      <c r="P16" s="3">
        <v>5</v>
      </c>
      <c r="Q16" s="3">
        <v>4</v>
      </c>
      <c r="R16" s="3">
        <v>-50</v>
      </c>
      <c r="S16" s="3">
        <v>-115</v>
      </c>
      <c r="T16" s="3">
        <v>58</v>
      </c>
      <c r="U16" s="3">
        <v>41</v>
      </c>
      <c r="V16" s="3">
        <v>22</v>
      </c>
      <c r="W16" s="3">
        <v>22</v>
      </c>
      <c r="X16" s="3">
        <v>32</v>
      </c>
      <c r="Y16" s="3">
        <v>29</v>
      </c>
      <c r="Z16" s="3">
        <v>30</v>
      </c>
      <c r="AA16" s="3">
        <v>21</v>
      </c>
      <c r="AB16" s="3">
        <v>65</v>
      </c>
      <c r="AC16" s="3">
        <v>88</v>
      </c>
      <c r="AD16" s="3">
        <v>219</v>
      </c>
      <c r="AE16" s="3">
        <v>55</v>
      </c>
    </row>
    <row r="17" spans="1:31" x14ac:dyDescent="0.2">
      <c r="A17" s="3">
        <v>11257</v>
      </c>
      <c r="B17" s="3" t="s">
        <v>35</v>
      </c>
      <c r="C17" s="3">
        <v>28</v>
      </c>
      <c r="D17" s="3">
        <v>34</v>
      </c>
      <c r="E17" s="3">
        <v>22</v>
      </c>
      <c r="F17" s="3">
        <v>35</v>
      </c>
      <c r="G17" s="3">
        <v>71.698113207547166</v>
      </c>
      <c r="H17" s="3">
        <v>86.666666666666671</v>
      </c>
      <c r="I17" s="3">
        <v>91.304347826086953</v>
      </c>
      <c r="J17" s="3">
        <v>42</v>
      </c>
      <c r="K17" s="3">
        <v>15</v>
      </c>
      <c r="L17" s="3">
        <v>17</v>
      </c>
      <c r="M17" s="3">
        <v>6</v>
      </c>
      <c r="N17" s="3">
        <v>27</v>
      </c>
      <c r="O17" s="3">
        <v>60</v>
      </c>
      <c r="P17" s="3">
        <v>6</v>
      </c>
      <c r="Q17" s="3">
        <v>5</v>
      </c>
      <c r="R17" s="3">
        <v>-36</v>
      </c>
      <c r="S17" s="3">
        <v>-60</v>
      </c>
      <c r="T17" s="3">
        <v>56</v>
      </c>
      <c r="U17" s="3">
        <v>37</v>
      </c>
      <c r="V17" s="3">
        <v>20</v>
      </c>
      <c r="W17" s="3">
        <v>22</v>
      </c>
      <c r="X17" s="3">
        <v>30</v>
      </c>
      <c r="Y17" s="3">
        <v>30</v>
      </c>
      <c r="Z17" s="3">
        <v>30</v>
      </c>
      <c r="AA17" s="3">
        <v>37</v>
      </c>
      <c r="AB17" s="3">
        <v>64</v>
      </c>
      <c r="AC17" s="3">
        <v>88</v>
      </c>
      <c r="AD17" s="3">
        <v>217</v>
      </c>
      <c r="AE17" s="3">
        <v>59</v>
      </c>
    </row>
    <row r="18" spans="1:31" x14ac:dyDescent="0.2">
      <c r="A18" s="3">
        <v>11693</v>
      </c>
      <c r="B18" s="3" t="s">
        <v>35</v>
      </c>
      <c r="C18" s="3">
        <v>24</v>
      </c>
      <c r="D18" s="3">
        <v>27</v>
      </c>
      <c r="E18" s="3">
        <v>15</v>
      </c>
      <c r="F18" s="3">
        <v>36</v>
      </c>
      <c r="G18" s="3">
        <v>79.245283018867923</v>
      </c>
      <c r="H18" s="3">
        <v>90</v>
      </c>
      <c r="I18" s="3">
        <v>100</v>
      </c>
      <c r="J18" s="3">
        <v>45</v>
      </c>
      <c r="K18" s="3">
        <v>14</v>
      </c>
      <c r="L18" s="3">
        <v>10</v>
      </c>
      <c r="M18" s="3">
        <v>7</v>
      </c>
      <c r="N18" s="3">
        <v>28</v>
      </c>
      <c r="O18" s="3">
        <v>59</v>
      </c>
      <c r="P18" s="3">
        <v>6</v>
      </c>
      <c r="Q18" s="3">
        <v>4</v>
      </c>
      <c r="R18" s="3">
        <v>-41</v>
      </c>
      <c r="S18" s="3">
        <v>-88</v>
      </c>
      <c r="T18" s="3">
        <v>56</v>
      </c>
      <c r="U18" s="3">
        <v>37</v>
      </c>
      <c r="V18" s="3">
        <v>21</v>
      </c>
      <c r="W18" s="3">
        <v>22</v>
      </c>
      <c r="X18" s="3">
        <v>32</v>
      </c>
      <c r="Y18" s="3">
        <v>30</v>
      </c>
      <c r="Z18" s="3">
        <v>30</v>
      </c>
      <c r="AA18" s="3">
        <v>38</v>
      </c>
      <c r="AB18" s="3">
        <v>64</v>
      </c>
      <c r="AC18" s="3">
        <v>88</v>
      </c>
      <c r="AD18" s="3">
        <v>217</v>
      </c>
      <c r="AE18" s="3">
        <v>58</v>
      </c>
    </row>
    <row r="19" spans="1:31" x14ac:dyDescent="0.2">
      <c r="A19" s="3">
        <v>11733</v>
      </c>
      <c r="B19" s="3" t="s">
        <v>35</v>
      </c>
      <c r="C19" s="3">
        <v>24</v>
      </c>
      <c r="D19" s="3">
        <v>33</v>
      </c>
      <c r="E19" s="3">
        <v>14</v>
      </c>
      <c r="F19" s="3">
        <v>35</v>
      </c>
      <c r="G19" s="3">
        <v>38</v>
      </c>
      <c r="H19" s="3">
        <v>30</v>
      </c>
      <c r="I19" s="3">
        <v>56.410256410256409</v>
      </c>
      <c r="J19" s="3">
        <v>41</v>
      </c>
      <c r="K19" s="3">
        <v>20</v>
      </c>
      <c r="L19" s="3">
        <v>19</v>
      </c>
      <c r="M19" s="3">
        <v>9</v>
      </c>
      <c r="N19" s="3">
        <v>29</v>
      </c>
      <c r="O19" s="3">
        <v>59</v>
      </c>
      <c r="P19" s="3">
        <v>7</v>
      </c>
      <c r="Q19" s="3">
        <v>6</v>
      </c>
      <c r="R19" s="3">
        <v>-26</v>
      </c>
      <c r="S19" s="3">
        <v>-48</v>
      </c>
      <c r="T19" s="3">
        <v>53</v>
      </c>
      <c r="U19" s="3">
        <v>49</v>
      </c>
      <c r="V19" s="3">
        <v>22</v>
      </c>
      <c r="W19" s="3">
        <v>22</v>
      </c>
      <c r="X19" s="3">
        <v>32</v>
      </c>
      <c r="Y19" s="3">
        <v>30</v>
      </c>
      <c r="Z19" s="3">
        <v>30</v>
      </c>
      <c r="AA19" s="3">
        <v>36</v>
      </c>
      <c r="AB19" s="3">
        <v>62</v>
      </c>
      <c r="AC19" s="3">
        <v>84</v>
      </c>
      <c r="AD19" s="3">
        <v>216</v>
      </c>
      <c r="AE19" s="3">
        <v>55</v>
      </c>
    </row>
    <row r="20" spans="1:31" x14ac:dyDescent="0.2">
      <c r="A20" s="3">
        <v>11752</v>
      </c>
      <c r="B20" s="3" t="s">
        <v>35</v>
      </c>
      <c r="C20" s="3">
        <v>28</v>
      </c>
      <c r="D20" s="3">
        <v>33</v>
      </c>
      <c r="E20" s="3">
        <v>21</v>
      </c>
      <c r="F20" s="3">
        <v>36</v>
      </c>
      <c r="G20" s="3">
        <v>38</v>
      </c>
      <c r="H20" s="3">
        <v>30</v>
      </c>
      <c r="I20" s="3">
        <v>51.282051282051277</v>
      </c>
      <c r="J20" s="3">
        <v>41</v>
      </c>
      <c r="K20" s="3">
        <v>14</v>
      </c>
      <c r="L20" s="3">
        <v>14</v>
      </c>
      <c r="M20" s="3">
        <v>9</v>
      </c>
      <c r="N20" s="3">
        <v>23</v>
      </c>
      <c r="O20" s="3">
        <v>60</v>
      </c>
      <c r="P20" s="3">
        <v>8</v>
      </c>
      <c r="Q20" s="3">
        <v>6</v>
      </c>
      <c r="R20" s="3">
        <v>-41</v>
      </c>
      <c r="S20" s="3">
        <v>-51</v>
      </c>
      <c r="T20" s="3">
        <v>52</v>
      </c>
      <c r="U20" s="3">
        <v>58</v>
      </c>
      <c r="V20" s="3">
        <v>22</v>
      </c>
      <c r="W20" s="3">
        <v>22</v>
      </c>
      <c r="X20" s="3">
        <v>32</v>
      </c>
      <c r="Y20" s="3">
        <v>30</v>
      </c>
      <c r="Z20" s="3">
        <v>30</v>
      </c>
      <c r="AA20" s="3">
        <v>36</v>
      </c>
      <c r="AB20" s="3">
        <v>63</v>
      </c>
      <c r="AC20" s="3">
        <v>88</v>
      </c>
      <c r="AD20" s="3">
        <v>219</v>
      </c>
      <c r="AE20" s="3">
        <v>55</v>
      </c>
    </row>
    <row r="21" spans="1:31" x14ac:dyDescent="0.2">
      <c r="A21" s="3">
        <v>11841</v>
      </c>
      <c r="B21" s="3" t="s">
        <v>35</v>
      </c>
      <c r="C21" s="3">
        <v>27</v>
      </c>
      <c r="D21" s="3">
        <v>37</v>
      </c>
      <c r="E21" s="3">
        <v>22</v>
      </c>
      <c r="F21" s="3">
        <v>36</v>
      </c>
      <c r="G21" s="3">
        <v>77.358490566037744</v>
      </c>
      <c r="H21" s="3">
        <v>96.666666666666671</v>
      </c>
      <c r="I21" s="3">
        <v>91.304347826086953</v>
      </c>
      <c r="J21" s="3">
        <v>39</v>
      </c>
      <c r="K21" s="3">
        <v>14</v>
      </c>
      <c r="L21" s="3">
        <v>18</v>
      </c>
      <c r="M21" s="3">
        <v>10</v>
      </c>
      <c r="N21" s="3">
        <v>30</v>
      </c>
      <c r="O21" s="3">
        <v>60</v>
      </c>
      <c r="P21" s="3">
        <v>6</v>
      </c>
      <c r="Q21" s="3">
        <v>6</v>
      </c>
      <c r="R21" s="3">
        <v>-50</v>
      </c>
      <c r="S21" s="3">
        <v>-110</v>
      </c>
      <c r="T21" s="3">
        <v>59</v>
      </c>
      <c r="U21" s="3">
        <v>60</v>
      </c>
      <c r="V21" s="3">
        <v>20</v>
      </c>
      <c r="W21" s="3">
        <v>22</v>
      </c>
      <c r="X21" s="3">
        <v>32</v>
      </c>
      <c r="Y21" s="3">
        <v>30</v>
      </c>
      <c r="Z21" s="3">
        <v>30</v>
      </c>
      <c r="AA21" s="3">
        <v>38</v>
      </c>
      <c r="AB21" s="3">
        <v>65</v>
      </c>
      <c r="AC21" s="3">
        <v>86</v>
      </c>
      <c r="AD21" s="3">
        <v>220</v>
      </c>
      <c r="AE21" s="3">
        <v>58</v>
      </c>
    </row>
    <row r="22" spans="1:31" x14ac:dyDescent="0.2">
      <c r="A22" s="3">
        <v>12073</v>
      </c>
      <c r="B22" s="3" t="s">
        <v>35</v>
      </c>
      <c r="C22" s="3">
        <v>24</v>
      </c>
      <c r="D22" s="3">
        <v>29</v>
      </c>
      <c r="E22" s="3">
        <v>20</v>
      </c>
      <c r="F22" s="3">
        <v>35</v>
      </c>
      <c r="G22" s="3">
        <v>75.471698113207552</v>
      </c>
      <c r="H22" s="3">
        <v>80</v>
      </c>
      <c r="I22" s="3">
        <v>95.652173913043484</v>
      </c>
      <c r="J22" s="3">
        <v>43</v>
      </c>
      <c r="K22" s="3">
        <v>12</v>
      </c>
      <c r="L22" s="3">
        <v>13</v>
      </c>
      <c r="M22" s="3">
        <v>9</v>
      </c>
      <c r="N22" s="3">
        <v>22</v>
      </c>
      <c r="O22" s="3">
        <v>59</v>
      </c>
      <c r="P22" s="3">
        <v>6</v>
      </c>
      <c r="Q22" s="3">
        <v>5</v>
      </c>
      <c r="R22" s="3">
        <v>-70</v>
      </c>
      <c r="S22" s="3">
        <v>-142</v>
      </c>
      <c r="T22" s="3">
        <v>54</v>
      </c>
      <c r="U22" s="3">
        <v>40</v>
      </c>
      <c r="V22" s="3">
        <v>22</v>
      </c>
      <c r="W22" s="3">
        <v>22</v>
      </c>
      <c r="X22" s="3">
        <v>31</v>
      </c>
      <c r="Y22" s="3">
        <v>30</v>
      </c>
      <c r="Z22" s="3">
        <v>30</v>
      </c>
      <c r="AA22" s="3">
        <v>34</v>
      </c>
      <c r="AB22" s="3">
        <v>65</v>
      </c>
      <c r="AC22" s="3">
        <v>86</v>
      </c>
      <c r="AD22" s="3">
        <v>216</v>
      </c>
      <c r="AE22" s="3">
        <v>51</v>
      </c>
    </row>
    <row r="23" spans="1:31" x14ac:dyDescent="0.2">
      <c r="A23" s="3">
        <v>12158</v>
      </c>
      <c r="B23" s="3" t="s">
        <v>35</v>
      </c>
      <c r="C23" s="3">
        <v>27</v>
      </c>
      <c r="D23" s="3">
        <v>21</v>
      </c>
      <c r="E23" s="3">
        <v>13</v>
      </c>
      <c r="F23" s="3">
        <v>32</v>
      </c>
      <c r="G23" s="3">
        <v>60.377358490566039</v>
      </c>
      <c r="H23" s="3">
        <v>83.333333333333343</v>
      </c>
      <c r="I23" s="3">
        <v>91.304347826086953</v>
      </c>
      <c r="J23" s="3">
        <v>47</v>
      </c>
      <c r="K23" s="3">
        <v>19</v>
      </c>
      <c r="L23" s="3">
        <v>19</v>
      </c>
      <c r="M23" s="3">
        <v>10</v>
      </c>
      <c r="N23" s="3">
        <v>30</v>
      </c>
      <c r="O23" s="3">
        <v>56</v>
      </c>
      <c r="P23" s="3">
        <v>5</v>
      </c>
      <c r="Q23" s="3">
        <v>5</v>
      </c>
      <c r="R23" s="3">
        <v>-63</v>
      </c>
      <c r="S23" s="3">
        <v>-123</v>
      </c>
      <c r="T23" s="3">
        <v>57</v>
      </c>
      <c r="U23" s="3">
        <v>27</v>
      </c>
      <c r="V23" s="3">
        <v>22</v>
      </c>
      <c r="W23" s="3">
        <v>22</v>
      </c>
      <c r="X23" s="3">
        <v>30</v>
      </c>
      <c r="Y23" s="3">
        <v>30</v>
      </c>
      <c r="Z23" s="3">
        <v>30</v>
      </c>
      <c r="AA23" s="3">
        <v>36</v>
      </c>
      <c r="AB23" s="3">
        <v>65</v>
      </c>
      <c r="AC23" s="3">
        <v>88</v>
      </c>
      <c r="AD23" s="3">
        <v>225</v>
      </c>
      <c r="AE23" s="3">
        <v>59</v>
      </c>
    </row>
    <row r="24" spans="1:31" x14ac:dyDescent="0.2">
      <c r="A24" s="3">
        <v>12269</v>
      </c>
      <c r="B24" s="3" t="s">
        <v>35</v>
      </c>
      <c r="C24" s="3">
        <v>28</v>
      </c>
      <c r="D24" s="3">
        <v>29</v>
      </c>
      <c r="E24" s="3">
        <v>17</v>
      </c>
      <c r="F24" s="3">
        <v>34</v>
      </c>
      <c r="G24" s="3">
        <v>56.000000000000007</v>
      </c>
      <c r="H24" s="3">
        <v>57.999999999999993</v>
      </c>
      <c r="I24" s="3">
        <v>79.487179487179489</v>
      </c>
      <c r="J24" s="3">
        <v>37</v>
      </c>
      <c r="K24" s="3">
        <v>13</v>
      </c>
      <c r="L24" s="3">
        <v>13</v>
      </c>
      <c r="M24" s="3">
        <v>8</v>
      </c>
      <c r="N24" s="3">
        <v>30</v>
      </c>
      <c r="O24" s="3">
        <v>60</v>
      </c>
      <c r="P24" s="3">
        <v>7</v>
      </c>
      <c r="Q24" s="3">
        <v>5</v>
      </c>
      <c r="R24" s="3">
        <v>-31</v>
      </c>
      <c r="S24" s="3">
        <v>-93</v>
      </c>
      <c r="T24" s="3">
        <v>60</v>
      </c>
      <c r="U24" s="3">
        <v>58</v>
      </c>
      <c r="V24" s="3">
        <v>21</v>
      </c>
      <c r="W24" s="3">
        <v>22</v>
      </c>
      <c r="X24" s="3">
        <v>32</v>
      </c>
      <c r="Y24" s="3">
        <v>30</v>
      </c>
      <c r="Z24" s="3">
        <v>30</v>
      </c>
      <c r="AA24" s="3">
        <v>38</v>
      </c>
      <c r="AB24" s="3">
        <v>63</v>
      </c>
      <c r="AC24" s="3">
        <v>88</v>
      </c>
      <c r="AD24" s="3">
        <v>224</v>
      </c>
      <c r="AE24" s="3">
        <v>59</v>
      </c>
    </row>
    <row r="25" spans="1:31" x14ac:dyDescent="0.2">
      <c r="A25" s="3">
        <v>12272</v>
      </c>
      <c r="B25" s="3" t="s">
        <v>35</v>
      </c>
      <c r="C25" s="3">
        <v>27</v>
      </c>
      <c r="D25" s="3">
        <v>29</v>
      </c>
      <c r="E25" s="3">
        <v>16</v>
      </c>
      <c r="F25" s="3">
        <v>36</v>
      </c>
      <c r="G25" s="3">
        <v>66</v>
      </c>
      <c r="H25" s="3">
        <v>52</v>
      </c>
      <c r="I25" s="3">
        <v>69.230769230769226</v>
      </c>
      <c r="J25" s="3">
        <v>44</v>
      </c>
      <c r="K25" s="3">
        <v>13</v>
      </c>
      <c r="L25" s="3">
        <v>14</v>
      </c>
      <c r="M25" s="3">
        <v>10</v>
      </c>
      <c r="N25" s="3">
        <v>30</v>
      </c>
      <c r="O25" s="3">
        <v>60</v>
      </c>
      <c r="P25" s="3">
        <v>6</v>
      </c>
      <c r="Q25" s="3">
        <v>5</v>
      </c>
      <c r="R25" s="3">
        <v>-27</v>
      </c>
      <c r="S25" s="3">
        <v>-75</v>
      </c>
      <c r="T25" s="3">
        <v>57</v>
      </c>
      <c r="U25" s="3">
        <v>36</v>
      </c>
      <c r="V25" s="3">
        <v>22</v>
      </c>
      <c r="W25" s="3">
        <v>21</v>
      </c>
      <c r="X25" s="3">
        <v>31</v>
      </c>
      <c r="Y25" s="3">
        <v>29</v>
      </c>
      <c r="Z25" s="3">
        <v>30</v>
      </c>
      <c r="AA25" s="3">
        <v>38</v>
      </c>
      <c r="AB25" s="3">
        <v>63</v>
      </c>
      <c r="AC25" s="3">
        <v>88</v>
      </c>
      <c r="AD25" s="3">
        <v>215</v>
      </c>
      <c r="AE25" s="3">
        <v>60</v>
      </c>
    </row>
    <row r="26" spans="1:31" x14ac:dyDescent="0.2">
      <c r="A26" s="3">
        <v>12370</v>
      </c>
      <c r="B26" s="3" t="s">
        <v>35</v>
      </c>
      <c r="C26" s="3">
        <v>27</v>
      </c>
      <c r="D26" s="3">
        <v>30</v>
      </c>
      <c r="E26" s="3">
        <v>12</v>
      </c>
      <c r="F26" s="3">
        <v>34</v>
      </c>
      <c r="G26" s="3">
        <v>64</v>
      </c>
      <c r="H26" s="3">
        <v>40</v>
      </c>
      <c r="I26" s="3">
        <v>66.666666666666657</v>
      </c>
      <c r="J26" s="3">
        <v>40</v>
      </c>
      <c r="K26" s="3">
        <v>18</v>
      </c>
      <c r="L26" s="3">
        <v>18</v>
      </c>
      <c r="M26" s="3">
        <v>10</v>
      </c>
      <c r="N26" s="3">
        <v>27</v>
      </c>
      <c r="O26" s="3">
        <v>60</v>
      </c>
      <c r="P26" s="3">
        <v>9</v>
      </c>
      <c r="Q26" s="3">
        <v>7</v>
      </c>
      <c r="R26" s="3">
        <v>-27</v>
      </c>
      <c r="S26" s="3">
        <v>-44</v>
      </c>
      <c r="T26" s="3">
        <v>54</v>
      </c>
      <c r="U26" s="3">
        <v>87</v>
      </c>
      <c r="V26" s="3">
        <v>22</v>
      </c>
      <c r="W26" s="3">
        <v>22</v>
      </c>
      <c r="X26" s="3">
        <v>32</v>
      </c>
      <c r="Y26" s="3">
        <v>30</v>
      </c>
      <c r="Z26" s="3">
        <v>30</v>
      </c>
      <c r="AA26" s="3">
        <v>40</v>
      </c>
      <c r="AB26" s="3">
        <v>65</v>
      </c>
      <c r="AC26" s="3">
        <v>88</v>
      </c>
      <c r="AD26" s="3">
        <v>214</v>
      </c>
      <c r="AE26" s="3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"/>
  <sheetViews>
    <sheetView workbookViewId="0">
      <selection activeCell="D17" sqref="D17:E17"/>
    </sheetView>
  </sheetViews>
  <sheetFormatPr baseColWidth="10" defaultColWidth="8.83203125" defaultRowHeight="15" x14ac:dyDescent="0.2"/>
  <sheetData>
    <row r="1" spans="1:31" s="5" customFormat="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s="5" customFormat="1" x14ac:dyDescent="0.2">
      <c r="A2" s="5">
        <v>10285</v>
      </c>
      <c r="B2" s="1" t="s">
        <v>2</v>
      </c>
      <c r="C2" s="5">
        <v>25</v>
      </c>
      <c r="D2" s="5">
        <v>38</v>
      </c>
      <c r="E2" s="5">
        <v>19</v>
      </c>
      <c r="F2" s="5">
        <v>36</v>
      </c>
      <c r="G2" s="3">
        <v>45.283018867924532</v>
      </c>
      <c r="H2" s="3">
        <v>63.333333333333329</v>
      </c>
      <c r="I2" s="3">
        <v>73.91304347826086</v>
      </c>
      <c r="J2" s="5">
        <v>45</v>
      </c>
      <c r="K2" s="5">
        <v>16</v>
      </c>
      <c r="L2" s="5">
        <v>16</v>
      </c>
      <c r="M2" s="5">
        <v>10</v>
      </c>
      <c r="N2" s="5">
        <v>29</v>
      </c>
      <c r="O2" s="5">
        <v>59</v>
      </c>
      <c r="P2" s="5">
        <v>5</v>
      </c>
      <c r="Q2" s="5">
        <v>5</v>
      </c>
      <c r="R2" s="3">
        <v>-61</v>
      </c>
      <c r="S2" s="3">
        <v>-199</v>
      </c>
      <c r="T2" s="5">
        <v>57</v>
      </c>
      <c r="U2" s="5">
        <v>18</v>
      </c>
      <c r="V2" s="5">
        <v>22</v>
      </c>
      <c r="W2" s="5">
        <v>22</v>
      </c>
      <c r="X2" s="5">
        <v>32</v>
      </c>
      <c r="Y2" s="5">
        <v>26</v>
      </c>
      <c r="Z2" s="5">
        <v>30</v>
      </c>
      <c r="AA2" s="5">
        <v>31</v>
      </c>
      <c r="AB2" s="5">
        <v>64</v>
      </c>
      <c r="AC2" s="5">
        <v>84</v>
      </c>
      <c r="AD2" s="5">
        <v>212</v>
      </c>
      <c r="AE2" s="5">
        <v>57</v>
      </c>
    </row>
    <row r="3" spans="1:31" s="5" customFormat="1" x14ac:dyDescent="0.2">
      <c r="A3" s="5">
        <v>8539</v>
      </c>
      <c r="B3" s="1" t="s">
        <v>2</v>
      </c>
      <c r="C3" s="5">
        <v>19</v>
      </c>
      <c r="D3" s="8">
        <v>26.09090909090909</v>
      </c>
      <c r="E3" s="8">
        <v>13.727272727272727</v>
      </c>
      <c r="F3" s="8">
        <v>34.272727272727273</v>
      </c>
      <c r="G3" s="8">
        <v>32.654088050314463</v>
      </c>
      <c r="H3" s="8">
        <v>33.944444444444436</v>
      </c>
      <c r="I3" s="8">
        <v>65.932738758825721</v>
      </c>
      <c r="J3" s="5">
        <v>44</v>
      </c>
      <c r="K3" s="5">
        <v>15</v>
      </c>
      <c r="L3" s="5">
        <v>15</v>
      </c>
      <c r="M3" s="5">
        <v>10</v>
      </c>
      <c r="N3" s="5">
        <v>29</v>
      </c>
      <c r="O3" s="5">
        <v>59</v>
      </c>
      <c r="P3" s="5">
        <v>3</v>
      </c>
      <c r="Q3" s="5">
        <v>3</v>
      </c>
      <c r="R3" s="3">
        <v>-42</v>
      </c>
      <c r="S3" s="3">
        <v>-123</v>
      </c>
      <c r="T3" s="5">
        <v>23</v>
      </c>
      <c r="U3" s="5">
        <v>21</v>
      </c>
      <c r="V3" s="5">
        <v>14</v>
      </c>
      <c r="W3" s="5">
        <v>22</v>
      </c>
      <c r="X3" s="8">
        <v>30.7</v>
      </c>
      <c r="Y3" s="8">
        <v>23.2</v>
      </c>
      <c r="Z3" s="5">
        <v>15</v>
      </c>
      <c r="AA3" s="5">
        <v>5</v>
      </c>
      <c r="AB3" s="8">
        <v>52.083333333333336</v>
      </c>
      <c r="AC3" s="8">
        <v>73.181818181818187</v>
      </c>
      <c r="AD3" s="5">
        <v>169</v>
      </c>
      <c r="AE3" s="5">
        <v>53</v>
      </c>
    </row>
    <row r="4" spans="1:31" s="5" customFormat="1" x14ac:dyDescent="0.2">
      <c r="A4" s="5">
        <v>10361</v>
      </c>
      <c r="B4" s="1" t="s">
        <v>2</v>
      </c>
      <c r="C4" s="5">
        <v>14</v>
      </c>
      <c r="D4" s="5">
        <v>12</v>
      </c>
      <c r="E4" s="5">
        <v>7</v>
      </c>
      <c r="F4" s="5">
        <v>28</v>
      </c>
      <c r="G4" s="3">
        <v>20.754716981132077</v>
      </c>
      <c r="H4" s="3">
        <v>20</v>
      </c>
      <c r="I4" s="3">
        <v>86.956521739130437</v>
      </c>
      <c r="J4" s="5">
        <v>26</v>
      </c>
      <c r="K4" s="5">
        <v>10</v>
      </c>
      <c r="L4" s="5">
        <v>10</v>
      </c>
      <c r="M4" s="5">
        <v>8</v>
      </c>
      <c r="N4" s="5">
        <v>0</v>
      </c>
      <c r="O4" s="5">
        <v>43</v>
      </c>
      <c r="P4" s="5">
        <v>5</v>
      </c>
      <c r="Q4" s="5">
        <v>4</v>
      </c>
      <c r="R4" s="3">
        <v>-108</v>
      </c>
      <c r="S4" s="7">
        <v>-181.4</v>
      </c>
      <c r="T4" s="5">
        <v>53</v>
      </c>
      <c r="U4" s="5">
        <v>14</v>
      </c>
      <c r="V4" s="5">
        <v>21</v>
      </c>
      <c r="W4" s="5">
        <v>22</v>
      </c>
      <c r="X4" s="5">
        <v>32</v>
      </c>
      <c r="Y4" s="8">
        <v>23.2</v>
      </c>
      <c r="Z4" s="5">
        <v>26</v>
      </c>
      <c r="AA4" s="5">
        <v>40</v>
      </c>
      <c r="AB4" s="5">
        <v>29</v>
      </c>
      <c r="AC4" s="5">
        <v>72</v>
      </c>
      <c r="AD4" s="5">
        <v>214</v>
      </c>
      <c r="AE4" s="5">
        <v>46</v>
      </c>
    </row>
    <row r="5" spans="1:31" s="5" customFormat="1" x14ac:dyDescent="0.2">
      <c r="A5" s="5">
        <v>12756</v>
      </c>
      <c r="B5" s="1" t="s">
        <v>2</v>
      </c>
      <c r="C5" s="5">
        <v>14</v>
      </c>
      <c r="D5" s="8">
        <v>26.09090909090909</v>
      </c>
      <c r="E5" s="8">
        <v>13.727272727272727</v>
      </c>
      <c r="F5" s="8">
        <v>34.272727272727273</v>
      </c>
      <c r="G5" s="3">
        <v>10</v>
      </c>
      <c r="H5" s="3">
        <v>8</v>
      </c>
      <c r="I5" s="3">
        <v>20.512820512820511</v>
      </c>
      <c r="J5" s="8">
        <v>36.272727272727273</v>
      </c>
      <c r="K5" s="5">
        <v>10</v>
      </c>
      <c r="L5" s="5">
        <v>15</v>
      </c>
      <c r="M5" s="5">
        <v>8</v>
      </c>
      <c r="N5" s="5">
        <v>17</v>
      </c>
      <c r="O5" s="5">
        <v>57</v>
      </c>
      <c r="P5" s="5">
        <v>4</v>
      </c>
      <c r="Q5" s="5">
        <v>3</v>
      </c>
      <c r="R5" s="3">
        <v>-94</v>
      </c>
      <c r="S5" s="3">
        <v>-398</v>
      </c>
      <c r="T5" s="5">
        <v>27</v>
      </c>
      <c r="U5" s="5">
        <v>9</v>
      </c>
      <c r="V5" s="5">
        <v>5</v>
      </c>
      <c r="W5" s="5">
        <v>21</v>
      </c>
      <c r="X5" s="5">
        <v>29</v>
      </c>
      <c r="Y5" s="5">
        <v>7</v>
      </c>
      <c r="Z5" s="5">
        <v>24</v>
      </c>
      <c r="AA5" s="5">
        <v>32</v>
      </c>
      <c r="AB5" s="5">
        <v>19</v>
      </c>
      <c r="AC5" s="5">
        <v>47</v>
      </c>
      <c r="AD5" s="5">
        <v>208</v>
      </c>
      <c r="AE5" s="5">
        <v>51</v>
      </c>
    </row>
    <row r="6" spans="1:31" s="5" customFormat="1" x14ac:dyDescent="0.2">
      <c r="A6" s="5">
        <v>12828</v>
      </c>
      <c r="B6" s="1" t="s">
        <v>2</v>
      </c>
      <c r="C6" s="5">
        <v>22</v>
      </c>
      <c r="D6" s="5">
        <v>36</v>
      </c>
      <c r="E6" s="5">
        <v>16</v>
      </c>
      <c r="F6" s="5">
        <v>36</v>
      </c>
      <c r="G6" s="3">
        <v>54.716981132075468</v>
      </c>
      <c r="H6" s="3">
        <v>60</v>
      </c>
      <c r="I6" s="3">
        <v>91.304347826086953</v>
      </c>
      <c r="J6" s="5">
        <v>32</v>
      </c>
      <c r="K6" s="5">
        <v>10</v>
      </c>
      <c r="L6" s="5">
        <v>10</v>
      </c>
      <c r="M6" s="5">
        <v>8</v>
      </c>
      <c r="N6" s="8">
        <v>22</v>
      </c>
      <c r="O6" s="5">
        <v>57</v>
      </c>
      <c r="P6" s="5">
        <v>5</v>
      </c>
      <c r="Q6" s="5">
        <v>3</v>
      </c>
      <c r="R6" s="3">
        <v>-78</v>
      </c>
      <c r="S6" s="3">
        <v>-204</v>
      </c>
      <c r="T6" s="5">
        <v>49</v>
      </c>
      <c r="U6" s="5">
        <v>17</v>
      </c>
      <c r="V6" s="5">
        <v>20</v>
      </c>
      <c r="W6" s="5">
        <v>21</v>
      </c>
      <c r="X6" s="5">
        <v>31</v>
      </c>
      <c r="Y6" s="5">
        <v>25</v>
      </c>
      <c r="Z6" s="5">
        <v>30</v>
      </c>
      <c r="AA6" s="5">
        <v>35</v>
      </c>
      <c r="AB6" s="5">
        <v>59</v>
      </c>
      <c r="AC6" s="5">
        <v>87</v>
      </c>
      <c r="AD6" s="5">
        <v>202</v>
      </c>
      <c r="AE6" s="5">
        <v>51</v>
      </c>
    </row>
    <row r="7" spans="1:31" s="5" customFormat="1" x14ac:dyDescent="0.2">
      <c r="A7" s="5">
        <v>11014</v>
      </c>
      <c r="B7" s="1" t="s">
        <v>2</v>
      </c>
      <c r="C7" s="5">
        <v>12</v>
      </c>
      <c r="D7" s="5">
        <v>15</v>
      </c>
      <c r="E7" s="5">
        <v>5</v>
      </c>
      <c r="F7" s="5">
        <v>34</v>
      </c>
      <c r="G7" s="3">
        <v>26.415094339622641</v>
      </c>
      <c r="H7" s="3">
        <v>20</v>
      </c>
      <c r="I7" s="3">
        <v>82.608695652173907</v>
      </c>
      <c r="J7" s="5">
        <v>35</v>
      </c>
      <c r="K7" s="5">
        <v>7</v>
      </c>
      <c r="L7" s="5">
        <v>8</v>
      </c>
      <c r="M7" s="5">
        <v>5</v>
      </c>
      <c r="N7" s="8">
        <v>22</v>
      </c>
      <c r="O7" s="5">
        <v>35</v>
      </c>
      <c r="P7" s="5">
        <v>6</v>
      </c>
      <c r="Q7" s="5">
        <v>4</v>
      </c>
      <c r="R7" s="3">
        <v>-176</v>
      </c>
      <c r="S7" s="7">
        <v>-181.4</v>
      </c>
      <c r="T7" s="5">
        <v>8</v>
      </c>
      <c r="U7" s="5">
        <v>17</v>
      </c>
      <c r="V7" s="5">
        <v>12</v>
      </c>
      <c r="W7" s="5">
        <v>18</v>
      </c>
      <c r="X7" s="5">
        <v>27</v>
      </c>
      <c r="Y7" s="5">
        <v>29</v>
      </c>
      <c r="Z7" s="5">
        <v>19</v>
      </c>
      <c r="AA7" s="5">
        <v>39</v>
      </c>
      <c r="AB7" s="5">
        <v>62</v>
      </c>
      <c r="AC7" s="5">
        <v>80</v>
      </c>
      <c r="AD7" s="5">
        <v>167</v>
      </c>
      <c r="AE7" s="5">
        <v>34</v>
      </c>
    </row>
    <row r="8" spans="1:31" s="5" customFormat="1" x14ac:dyDescent="0.2">
      <c r="A8" s="5">
        <v>12829</v>
      </c>
      <c r="B8" s="1" t="s">
        <v>2</v>
      </c>
      <c r="C8" s="5">
        <v>21</v>
      </c>
      <c r="D8" s="5">
        <v>21</v>
      </c>
      <c r="E8" s="5">
        <v>13</v>
      </c>
      <c r="F8" s="5">
        <v>35</v>
      </c>
      <c r="G8" s="3">
        <v>41.509433962264154</v>
      </c>
      <c r="H8" s="3">
        <v>43.333333333333336</v>
      </c>
      <c r="I8" s="3">
        <v>78.260869565217391</v>
      </c>
      <c r="J8" s="5">
        <v>34</v>
      </c>
      <c r="K8" s="5">
        <v>16</v>
      </c>
      <c r="L8" s="5">
        <v>14</v>
      </c>
      <c r="M8" s="5">
        <v>10</v>
      </c>
      <c r="N8" s="5">
        <v>28</v>
      </c>
      <c r="O8" s="5">
        <v>35</v>
      </c>
      <c r="P8" s="5">
        <v>6</v>
      </c>
      <c r="Q8" s="5">
        <v>3</v>
      </c>
      <c r="R8" s="3">
        <v>-89</v>
      </c>
      <c r="S8" s="3">
        <v>-275</v>
      </c>
      <c r="T8" s="5">
        <v>54</v>
      </c>
      <c r="U8" s="5">
        <v>7</v>
      </c>
      <c r="V8" s="5">
        <v>21</v>
      </c>
      <c r="W8" s="5">
        <v>22</v>
      </c>
      <c r="X8" s="5">
        <v>32</v>
      </c>
      <c r="Y8" s="5">
        <v>30</v>
      </c>
      <c r="Z8" s="5">
        <v>30</v>
      </c>
      <c r="AA8" s="5">
        <v>31</v>
      </c>
      <c r="AB8" s="5">
        <v>62</v>
      </c>
      <c r="AC8" s="5">
        <v>86</v>
      </c>
      <c r="AD8" s="5">
        <v>215</v>
      </c>
      <c r="AE8" s="5">
        <v>50</v>
      </c>
    </row>
    <row r="9" spans="1:31" s="5" customFormat="1" x14ac:dyDescent="0.2">
      <c r="A9" s="5">
        <v>12952</v>
      </c>
      <c r="B9" s="1" t="s">
        <v>2</v>
      </c>
      <c r="C9" s="5">
        <v>26</v>
      </c>
      <c r="D9" s="5">
        <v>40</v>
      </c>
      <c r="E9" s="5">
        <v>24</v>
      </c>
      <c r="F9" s="5">
        <v>36</v>
      </c>
      <c r="G9" s="3">
        <v>52</v>
      </c>
      <c r="H9" s="3">
        <v>48</v>
      </c>
      <c r="I9" s="3">
        <v>56.410256410256409</v>
      </c>
      <c r="J9" s="5">
        <v>43</v>
      </c>
      <c r="K9" s="5">
        <v>16</v>
      </c>
      <c r="L9" s="5">
        <v>15</v>
      </c>
      <c r="M9" s="5">
        <v>8</v>
      </c>
      <c r="N9" s="5">
        <v>15</v>
      </c>
      <c r="O9" s="5">
        <v>58</v>
      </c>
      <c r="P9" s="5">
        <v>5</v>
      </c>
      <c r="Q9" s="5">
        <v>4</v>
      </c>
      <c r="R9" s="3">
        <v>-62</v>
      </c>
      <c r="S9" s="3">
        <v>-105</v>
      </c>
      <c r="T9" s="5">
        <v>40</v>
      </c>
      <c r="U9" s="5">
        <v>17</v>
      </c>
      <c r="V9" s="5">
        <v>21</v>
      </c>
      <c r="W9" s="5">
        <v>22</v>
      </c>
      <c r="X9" s="5">
        <v>32</v>
      </c>
      <c r="Y9" s="5">
        <v>27</v>
      </c>
      <c r="Z9" s="5">
        <v>30</v>
      </c>
      <c r="AA9" s="5">
        <v>37</v>
      </c>
      <c r="AB9" s="5">
        <v>63</v>
      </c>
      <c r="AC9" s="5">
        <v>85</v>
      </c>
      <c r="AD9" s="5">
        <v>168</v>
      </c>
      <c r="AE9" s="5">
        <v>55</v>
      </c>
    </row>
    <row r="10" spans="1:31" s="5" customFormat="1" x14ac:dyDescent="0.2">
      <c r="A10" s="5">
        <v>13187</v>
      </c>
      <c r="B10" s="1" t="s">
        <v>2</v>
      </c>
      <c r="C10" s="5">
        <v>23</v>
      </c>
      <c r="D10" s="5">
        <v>27</v>
      </c>
      <c r="E10" s="5">
        <v>19</v>
      </c>
      <c r="F10" s="5">
        <v>35</v>
      </c>
      <c r="G10" s="3">
        <v>10</v>
      </c>
      <c r="H10" s="3">
        <v>0</v>
      </c>
      <c r="I10" s="3">
        <v>53.846153846153847</v>
      </c>
      <c r="J10" s="5">
        <v>35</v>
      </c>
      <c r="K10" s="5">
        <v>16</v>
      </c>
      <c r="L10" s="5">
        <v>15</v>
      </c>
      <c r="M10" s="5">
        <v>9</v>
      </c>
      <c r="N10" s="5">
        <v>28</v>
      </c>
      <c r="O10" s="5">
        <v>60</v>
      </c>
      <c r="P10" s="5">
        <v>4</v>
      </c>
      <c r="Q10" s="5">
        <v>3</v>
      </c>
      <c r="R10" s="3">
        <v>-37</v>
      </c>
      <c r="S10" s="3">
        <v>-151</v>
      </c>
      <c r="T10" s="5">
        <v>46</v>
      </c>
      <c r="U10" s="5">
        <v>23</v>
      </c>
      <c r="V10" s="5">
        <v>16</v>
      </c>
      <c r="W10" s="5">
        <v>22</v>
      </c>
      <c r="X10" s="8">
        <v>30.7</v>
      </c>
      <c r="Y10" s="8">
        <v>23.2</v>
      </c>
      <c r="Z10" s="5">
        <v>18</v>
      </c>
      <c r="AA10" s="5">
        <v>21</v>
      </c>
      <c r="AB10" s="5">
        <v>43</v>
      </c>
      <c r="AC10" s="5">
        <v>39</v>
      </c>
      <c r="AD10" s="5">
        <v>190</v>
      </c>
      <c r="AE10" s="5">
        <v>54</v>
      </c>
    </row>
    <row r="11" spans="1:31" s="5" customFormat="1" x14ac:dyDescent="0.2">
      <c r="A11" s="5">
        <v>13196</v>
      </c>
      <c r="B11" s="1" t="s">
        <v>2</v>
      </c>
      <c r="C11" s="5">
        <v>25</v>
      </c>
      <c r="D11" s="5">
        <v>24</v>
      </c>
      <c r="E11" s="5">
        <v>14</v>
      </c>
      <c r="F11" s="5">
        <v>36</v>
      </c>
      <c r="G11" s="3">
        <v>34</v>
      </c>
      <c r="H11" s="3">
        <v>30</v>
      </c>
      <c r="I11" s="3">
        <v>66.666666666666657</v>
      </c>
      <c r="J11" s="5">
        <v>40</v>
      </c>
      <c r="K11" s="5">
        <v>12</v>
      </c>
      <c r="L11" s="5">
        <v>11</v>
      </c>
      <c r="M11" s="5">
        <v>10</v>
      </c>
      <c r="N11" s="5">
        <v>28</v>
      </c>
      <c r="O11" s="5">
        <v>53</v>
      </c>
      <c r="P11" s="5">
        <v>4</v>
      </c>
      <c r="Q11" s="5">
        <v>4</v>
      </c>
      <c r="R11" s="3">
        <v>-76</v>
      </c>
      <c r="S11" s="3">
        <v>-149</v>
      </c>
      <c r="T11" s="5">
        <v>51</v>
      </c>
      <c r="U11" s="5">
        <v>14</v>
      </c>
      <c r="V11" s="5">
        <v>20</v>
      </c>
      <c r="W11" s="5">
        <v>22</v>
      </c>
      <c r="X11" s="5">
        <v>31</v>
      </c>
      <c r="Y11" s="5">
        <v>27</v>
      </c>
      <c r="Z11" s="5">
        <v>30</v>
      </c>
      <c r="AA11" s="5">
        <v>35</v>
      </c>
      <c r="AB11" s="5">
        <v>54</v>
      </c>
      <c r="AC11" s="8">
        <v>73.181818181818187</v>
      </c>
      <c r="AD11" s="5">
        <v>206</v>
      </c>
      <c r="AE11" s="5">
        <v>54</v>
      </c>
    </row>
    <row r="12" spans="1:31" s="5" customFormat="1" x14ac:dyDescent="0.2">
      <c r="A12" s="5">
        <v>13074</v>
      </c>
      <c r="B12" s="1" t="s">
        <v>2</v>
      </c>
      <c r="C12" s="5">
        <v>26</v>
      </c>
      <c r="D12" s="5">
        <v>32</v>
      </c>
      <c r="E12" s="5">
        <v>14</v>
      </c>
      <c r="F12" s="5">
        <v>36</v>
      </c>
      <c r="G12" s="3">
        <v>50</v>
      </c>
      <c r="H12" s="3">
        <v>48</v>
      </c>
      <c r="I12" s="3">
        <v>58.974358974358978</v>
      </c>
      <c r="J12" s="5">
        <v>41</v>
      </c>
      <c r="K12" s="5">
        <v>16</v>
      </c>
      <c r="L12" s="5">
        <v>14</v>
      </c>
      <c r="M12" s="5">
        <v>9</v>
      </c>
      <c r="N12" s="5">
        <v>20</v>
      </c>
      <c r="O12" s="5">
        <v>59</v>
      </c>
      <c r="P12" s="5">
        <v>7</v>
      </c>
      <c r="Q12" s="5">
        <v>4</v>
      </c>
      <c r="R12" s="3">
        <v>-48</v>
      </c>
      <c r="S12" s="3">
        <v>-75</v>
      </c>
      <c r="T12" s="5">
        <v>40</v>
      </c>
      <c r="U12" s="5">
        <v>28</v>
      </c>
      <c r="V12" s="5">
        <v>20</v>
      </c>
      <c r="W12" s="5">
        <v>22</v>
      </c>
      <c r="X12" s="5">
        <v>32</v>
      </c>
      <c r="Y12" s="5">
        <v>29</v>
      </c>
      <c r="Z12" s="5">
        <v>30</v>
      </c>
      <c r="AA12" s="5">
        <v>31</v>
      </c>
      <c r="AB12" s="5">
        <v>62</v>
      </c>
      <c r="AC12" s="5">
        <v>86</v>
      </c>
      <c r="AD12" s="5">
        <v>195</v>
      </c>
      <c r="AE12" s="5">
        <v>50</v>
      </c>
    </row>
    <row r="13" spans="1:31" s="5" customFormat="1" x14ac:dyDescent="0.2">
      <c r="A13" s="5">
        <v>13188</v>
      </c>
      <c r="B13" s="1" t="s">
        <v>2</v>
      </c>
      <c r="C13" s="5">
        <v>23</v>
      </c>
      <c r="D13" s="5">
        <v>25</v>
      </c>
      <c r="E13" s="5">
        <v>16</v>
      </c>
      <c r="F13" s="5">
        <v>35</v>
      </c>
      <c r="G13" s="3">
        <v>24.528301886792452</v>
      </c>
      <c r="H13" s="3">
        <v>43.333333333333336</v>
      </c>
      <c r="I13" s="3">
        <v>69.565217391304344</v>
      </c>
      <c r="J13" s="5">
        <v>24</v>
      </c>
      <c r="K13" s="5">
        <v>17</v>
      </c>
      <c r="L13" s="5">
        <v>19</v>
      </c>
      <c r="M13" s="5">
        <v>8</v>
      </c>
      <c r="N13" s="5">
        <v>26</v>
      </c>
      <c r="O13" s="5">
        <v>59</v>
      </c>
      <c r="P13" s="5">
        <v>5</v>
      </c>
      <c r="Q13" s="5">
        <v>3</v>
      </c>
      <c r="R13" s="3">
        <v>-57</v>
      </c>
      <c r="S13" s="3">
        <v>-135</v>
      </c>
      <c r="T13" s="5">
        <v>39</v>
      </c>
      <c r="U13" s="5">
        <v>6</v>
      </c>
      <c r="V13" s="5">
        <v>14</v>
      </c>
      <c r="W13" s="5">
        <v>22</v>
      </c>
      <c r="X13" s="5">
        <v>29</v>
      </c>
      <c r="Y13" s="5">
        <v>22</v>
      </c>
      <c r="Z13" s="5">
        <v>25</v>
      </c>
      <c r="AA13" s="5">
        <v>28</v>
      </c>
      <c r="AB13" s="5">
        <v>55</v>
      </c>
      <c r="AC13" s="5">
        <v>81</v>
      </c>
      <c r="AD13" s="5">
        <v>201</v>
      </c>
      <c r="AE13" s="5">
        <v>50</v>
      </c>
    </row>
    <row r="14" spans="1:31" s="5" customFormat="1" x14ac:dyDescent="0.2">
      <c r="A14" s="5">
        <v>13156</v>
      </c>
      <c r="B14" s="1" t="s">
        <v>2</v>
      </c>
      <c r="C14" s="5">
        <v>7</v>
      </c>
      <c r="D14" s="5">
        <v>17</v>
      </c>
      <c r="E14" s="5">
        <v>4</v>
      </c>
      <c r="F14" s="5">
        <v>30</v>
      </c>
      <c r="G14" s="3">
        <v>22.641509433962266</v>
      </c>
      <c r="H14" s="3">
        <v>23.333333333333332</v>
      </c>
      <c r="I14" s="3">
        <v>52.173913043478258</v>
      </c>
      <c r="J14" s="8">
        <v>36.272727272727273</v>
      </c>
      <c r="K14" s="5">
        <v>5</v>
      </c>
      <c r="L14" s="5">
        <v>5</v>
      </c>
      <c r="M14" s="5">
        <v>3</v>
      </c>
      <c r="N14" s="8">
        <v>22</v>
      </c>
      <c r="O14" s="5">
        <v>33</v>
      </c>
      <c r="P14" s="5">
        <v>3</v>
      </c>
      <c r="Q14" s="5">
        <v>2</v>
      </c>
      <c r="R14" s="3">
        <v>-414</v>
      </c>
      <c r="S14" s="7">
        <v>-181.4</v>
      </c>
      <c r="T14" s="5">
        <v>31</v>
      </c>
      <c r="U14" s="5">
        <v>10</v>
      </c>
      <c r="V14" s="5">
        <v>17</v>
      </c>
      <c r="W14" s="5">
        <v>20</v>
      </c>
      <c r="X14" s="8">
        <v>30.7</v>
      </c>
      <c r="Y14" s="5">
        <v>10</v>
      </c>
      <c r="Z14" s="5">
        <v>21</v>
      </c>
      <c r="AA14" s="8">
        <v>30.416666666666668</v>
      </c>
      <c r="AB14" s="5">
        <v>53</v>
      </c>
      <c r="AC14" s="5">
        <v>58</v>
      </c>
      <c r="AD14" s="5">
        <v>189</v>
      </c>
      <c r="AE14" s="5">
        <v>38</v>
      </c>
    </row>
    <row r="15" spans="1:31" x14ac:dyDescent="0.2">
      <c r="A15" s="2" t="s">
        <v>38</v>
      </c>
      <c r="D15" s="9">
        <f>AVERAGE(D2:D14)</f>
        <v>26.09090909090909</v>
      </c>
      <c r="E15" s="9">
        <f>AVERAGE(E2:E14)</f>
        <v>13.727272727272727</v>
      </c>
      <c r="F15" s="9">
        <f t="shared" ref="F15:J15" si="0">AVERAGE(F2:F14)</f>
        <v>34.272727272727273</v>
      </c>
      <c r="G15" s="9">
        <f t="shared" si="0"/>
        <v>32.654088050314471</v>
      </c>
      <c r="H15" s="9">
        <f t="shared" si="0"/>
        <v>33.944444444444443</v>
      </c>
      <c r="I15" s="9">
        <f t="shared" si="0"/>
        <v>65.932738758825707</v>
      </c>
      <c r="J15" s="9">
        <f t="shared" si="0"/>
        <v>36.272727272727266</v>
      </c>
      <c r="N15" s="9">
        <f t="shared" ref="N15" si="1">AVERAGE(N2:N14)</f>
        <v>22</v>
      </c>
      <c r="S15" s="9">
        <f t="shared" ref="S15" si="2">AVERAGE(S2:S14)</f>
        <v>-181.40000000000003</v>
      </c>
      <c r="X15" s="9">
        <f t="shared" ref="X15:Y15" si="3">AVERAGE(X2:X14)</f>
        <v>30.699999999999996</v>
      </c>
      <c r="Y15" s="9">
        <f t="shared" si="3"/>
        <v>23.200000000000003</v>
      </c>
      <c r="AA15" s="9">
        <f t="shared" ref="AA15:AB15" si="4">AVERAGE(AA2:AA14)</f>
        <v>30.416666666666668</v>
      </c>
      <c r="AB15" s="9">
        <f t="shared" si="4"/>
        <v>52.083333333333336</v>
      </c>
      <c r="AC15" s="9">
        <f t="shared" ref="AC15" si="5">AVERAGE(AC2:AC14)</f>
        <v>73.181818181818187</v>
      </c>
    </row>
    <row r="17" spans="1:31" x14ac:dyDescent="0.2">
      <c r="D17" s="2"/>
    </row>
    <row r="19" spans="1:31" x14ac:dyDescent="0.2">
      <c r="A19" s="2" t="s">
        <v>36</v>
      </c>
    </row>
    <row r="20" spans="1:31" s="5" customFormat="1" x14ac:dyDescent="0.2">
      <c r="A20" s="5">
        <v>13088</v>
      </c>
      <c r="B20" s="1" t="s">
        <v>2</v>
      </c>
      <c r="C20" s="5">
        <v>6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7" t="s">
        <v>0</v>
      </c>
      <c r="S20" s="7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5">
        <v>22</v>
      </c>
      <c r="AA20" s="8" t="s">
        <v>0</v>
      </c>
      <c r="AB20" s="8" t="s">
        <v>0</v>
      </c>
      <c r="AC20" s="8" t="s">
        <v>0</v>
      </c>
      <c r="AD20" s="8" t="s">
        <v>0</v>
      </c>
      <c r="AE20" s="8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2"/>
  <sheetViews>
    <sheetView workbookViewId="0">
      <selection activeCell="A2" sqref="A2:XFD11"/>
    </sheetView>
  </sheetViews>
  <sheetFormatPr baseColWidth="10" defaultColWidth="8.83203125" defaultRowHeight="15" x14ac:dyDescent="0.2"/>
  <sheetData>
    <row r="1" spans="1:3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x14ac:dyDescent="0.2">
      <c r="A2" s="5">
        <v>2103</v>
      </c>
      <c r="B2" s="1" t="s">
        <v>3</v>
      </c>
      <c r="C2" s="5">
        <v>14</v>
      </c>
      <c r="D2" s="5">
        <v>16</v>
      </c>
      <c r="E2" s="5">
        <v>8</v>
      </c>
      <c r="F2" s="5">
        <v>32</v>
      </c>
      <c r="G2" s="3">
        <v>32.075471698113205</v>
      </c>
      <c r="H2" s="3">
        <v>3.3333333333333335</v>
      </c>
      <c r="I2" s="3">
        <v>56.521739130434781</v>
      </c>
      <c r="J2" s="5">
        <v>26</v>
      </c>
      <c r="K2" s="5">
        <v>1</v>
      </c>
      <c r="L2" s="5">
        <v>1</v>
      </c>
      <c r="M2" s="5">
        <v>1</v>
      </c>
      <c r="N2" s="8">
        <v>20.625</v>
      </c>
      <c r="O2" s="5">
        <v>54</v>
      </c>
      <c r="P2" s="5">
        <v>6</v>
      </c>
      <c r="Q2" s="5">
        <v>6</v>
      </c>
      <c r="R2" s="3">
        <v>-127</v>
      </c>
      <c r="S2" s="3">
        <v>-317</v>
      </c>
      <c r="T2" s="5">
        <v>46</v>
      </c>
      <c r="U2" s="5">
        <v>29</v>
      </c>
      <c r="V2" s="5">
        <v>19</v>
      </c>
      <c r="W2" s="5">
        <v>22</v>
      </c>
      <c r="X2" s="5">
        <v>31</v>
      </c>
      <c r="Y2" s="5">
        <v>28</v>
      </c>
      <c r="Z2" s="5">
        <v>29</v>
      </c>
      <c r="AA2" s="5">
        <v>27</v>
      </c>
      <c r="AB2" s="5">
        <v>62</v>
      </c>
      <c r="AC2" s="5">
        <v>88</v>
      </c>
      <c r="AD2" s="5">
        <v>198</v>
      </c>
      <c r="AE2" s="5">
        <v>50</v>
      </c>
    </row>
    <row r="3" spans="1:31" x14ac:dyDescent="0.2">
      <c r="A3" s="5">
        <v>7352</v>
      </c>
      <c r="B3" s="1" t="s">
        <v>3</v>
      </c>
      <c r="C3" s="5">
        <v>26</v>
      </c>
      <c r="D3" s="5">
        <v>32</v>
      </c>
      <c r="E3" s="5">
        <v>19</v>
      </c>
      <c r="F3" s="5">
        <v>33</v>
      </c>
      <c r="G3" s="3">
        <v>67.924528301886795</v>
      </c>
      <c r="H3" s="3">
        <v>50</v>
      </c>
      <c r="I3" s="3">
        <v>82.608695652173907</v>
      </c>
      <c r="J3" s="5">
        <v>39</v>
      </c>
      <c r="K3" s="5">
        <v>17</v>
      </c>
      <c r="L3" s="5">
        <v>16</v>
      </c>
      <c r="M3" s="5">
        <v>7</v>
      </c>
      <c r="N3" s="5">
        <v>30</v>
      </c>
      <c r="O3" s="5">
        <v>60</v>
      </c>
      <c r="P3" s="5">
        <v>8</v>
      </c>
      <c r="Q3" s="5">
        <v>6</v>
      </c>
      <c r="R3" s="3">
        <v>-36</v>
      </c>
      <c r="S3" s="3">
        <v>-73</v>
      </c>
      <c r="T3" s="5">
        <v>55</v>
      </c>
      <c r="U3" s="5">
        <v>43</v>
      </c>
      <c r="V3" s="5">
        <v>21</v>
      </c>
      <c r="W3" s="5">
        <v>22</v>
      </c>
      <c r="X3" s="5">
        <v>31</v>
      </c>
      <c r="Y3" s="5">
        <v>30</v>
      </c>
      <c r="Z3" s="5">
        <v>30</v>
      </c>
      <c r="AA3" s="5">
        <v>36</v>
      </c>
      <c r="AB3" s="5">
        <v>65</v>
      </c>
      <c r="AC3" s="5">
        <v>88</v>
      </c>
      <c r="AD3" s="5">
        <v>220</v>
      </c>
      <c r="AE3" s="5">
        <v>59</v>
      </c>
    </row>
    <row r="4" spans="1:31" x14ac:dyDescent="0.2">
      <c r="A4" s="5">
        <v>8961</v>
      </c>
      <c r="B4" s="1" t="s">
        <v>3</v>
      </c>
      <c r="C4" s="5">
        <v>25</v>
      </c>
      <c r="D4" s="5">
        <v>26</v>
      </c>
      <c r="E4" s="5">
        <v>15</v>
      </c>
      <c r="F4" s="5">
        <v>31</v>
      </c>
      <c r="G4" s="3">
        <v>54.716981132075468</v>
      </c>
      <c r="H4" s="3">
        <v>46.666666666666664</v>
      </c>
      <c r="I4" s="3">
        <v>65.217391304347828</v>
      </c>
      <c r="J4" s="5">
        <v>33</v>
      </c>
      <c r="K4" s="5">
        <v>4</v>
      </c>
      <c r="L4" s="5">
        <v>3</v>
      </c>
      <c r="M4" s="5">
        <v>6</v>
      </c>
      <c r="N4" s="5">
        <v>17</v>
      </c>
      <c r="O4" s="5">
        <v>48</v>
      </c>
      <c r="P4" s="5">
        <v>7</v>
      </c>
      <c r="Q4" s="5">
        <v>3</v>
      </c>
      <c r="R4" s="3">
        <v>-89</v>
      </c>
      <c r="S4" s="3">
        <v>-343</v>
      </c>
      <c r="T4" s="5">
        <v>45</v>
      </c>
      <c r="U4" s="5">
        <v>35</v>
      </c>
      <c r="V4" s="5">
        <v>18</v>
      </c>
      <c r="W4" s="5">
        <v>21</v>
      </c>
      <c r="X4" s="5">
        <v>32</v>
      </c>
      <c r="Y4" s="5">
        <v>18</v>
      </c>
      <c r="Z4" s="5">
        <v>30</v>
      </c>
      <c r="AA4" s="5">
        <v>24</v>
      </c>
      <c r="AB4" s="5">
        <v>62</v>
      </c>
      <c r="AC4" s="5">
        <v>71</v>
      </c>
      <c r="AD4" s="5">
        <v>192</v>
      </c>
      <c r="AE4" s="5">
        <v>44</v>
      </c>
    </row>
    <row r="5" spans="1:31" x14ac:dyDescent="0.2">
      <c r="A5" s="5">
        <v>11264</v>
      </c>
      <c r="B5" s="1" t="s">
        <v>3</v>
      </c>
      <c r="C5" s="5">
        <v>21</v>
      </c>
      <c r="D5" s="5">
        <v>23</v>
      </c>
      <c r="E5" s="5">
        <v>12</v>
      </c>
      <c r="F5" s="5">
        <v>32</v>
      </c>
      <c r="G5" s="3">
        <v>49.056603773584904</v>
      </c>
      <c r="H5" s="3">
        <v>13.333333333333334</v>
      </c>
      <c r="I5" s="3">
        <v>65.217391304347828</v>
      </c>
      <c r="J5" s="5">
        <v>31</v>
      </c>
      <c r="K5" s="5">
        <v>13</v>
      </c>
      <c r="L5" s="5">
        <v>14</v>
      </c>
      <c r="M5" s="5">
        <v>7</v>
      </c>
      <c r="N5" s="5">
        <v>17</v>
      </c>
      <c r="O5" s="5">
        <v>50</v>
      </c>
      <c r="P5" s="5">
        <v>5</v>
      </c>
      <c r="Q5" s="5">
        <v>3</v>
      </c>
      <c r="R5" s="3">
        <v>-61</v>
      </c>
      <c r="S5" s="3">
        <v>-316</v>
      </c>
      <c r="T5" s="5">
        <v>54</v>
      </c>
      <c r="U5" s="5">
        <v>38</v>
      </c>
      <c r="V5" s="5">
        <v>19</v>
      </c>
      <c r="W5" s="5">
        <v>22</v>
      </c>
      <c r="X5" s="5">
        <v>30</v>
      </c>
      <c r="Y5" s="5">
        <v>29</v>
      </c>
      <c r="Z5" s="5">
        <v>29</v>
      </c>
      <c r="AA5" s="5">
        <v>35</v>
      </c>
      <c r="AB5" s="5">
        <v>46</v>
      </c>
      <c r="AC5" s="5">
        <v>78</v>
      </c>
      <c r="AD5" s="5">
        <v>205</v>
      </c>
      <c r="AE5" s="5">
        <v>54</v>
      </c>
    </row>
    <row r="6" spans="1:31" x14ac:dyDescent="0.2">
      <c r="A6" s="5">
        <v>11634</v>
      </c>
      <c r="B6" s="1" t="s">
        <v>3</v>
      </c>
      <c r="C6" s="5">
        <v>23</v>
      </c>
      <c r="D6" s="5">
        <v>23</v>
      </c>
      <c r="E6" s="5">
        <v>2</v>
      </c>
      <c r="F6" s="5">
        <v>30</v>
      </c>
      <c r="G6" s="8">
        <v>44.750524109014663</v>
      </c>
      <c r="H6" s="8">
        <v>20.416666666666664</v>
      </c>
      <c r="I6" s="8">
        <v>57.946240554936203</v>
      </c>
      <c r="J6" s="5">
        <v>35</v>
      </c>
      <c r="K6" s="5">
        <v>7</v>
      </c>
      <c r="L6" s="5">
        <v>0</v>
      </c>
      <c r="M6" s="5">
        <v>0</v>
      </c>
      <c r="N6" s="5">
        <v>26</v>
      </c>
      <c r="O6" s="5">
        <v>57</v>
      </c>
      <c r="P6" s="5">
        <v>6</v>
      </c>
      <c r="Q6" s="5">
        <v>4</v>
      </c>
      <c r="R6" s="3">
        <v>-58</v>
      </c>
      <c r="S6" s="3">
        <v>-123</v>
      </c>
      <c r="T6" s="5">
        <v>43</v>
      </c>
      <c r="U6" s="5">
        <v>28</v>
      </c>
      <c r="V6" s="5">
        <v>22</v>
      </c>
      <c r="W6" s="5">
        <v>22</v>
      </c>
      <c r="X6" s="5">
        <v>32</v>
      </c>
      <c r="Y6" s="5">
        <v>30</v>
      </c>
      <c r="Z6" s="5">
        <v>30</v>
      </c>
      <c r="AA6" s="5">
        <v>37</v>
      </c>
      <c r="AB6" s="5">
        <v>62</v>
      </c>
      <c r="AC6" s="5">
        <v>87</v>
      </c>
      <c r="AD6" s="5">
        <v>208</v>
      </c>
      <c r="AE6" s="5">
        <v>56</v>
      </c>
    </row>
    <row r="7" spans="1:31" x14ac:dyDescent="0.2">
      <c r="A7" s="5">
        <v>12257</v>
      </c>
      <c r="B7" s="1" t="s">
        <v>3</v>
      </c>
      <c r="C7" s="5">
        <v>18</v>
      </c>
      <c r="D7" s="5">
        <v>15</v>
      </c>
      <c r="E7" s="5">
        <v>1</v>
      </c>
      <c r="F7" s="5">
        <v>19</v>
      </c>
      <c r="G7" s="3">
        <v>33.962264150943398</v>
      </c>
      <c r="H7" s="8">
        <v>20.416666666666668</v>
      </c>
      <c r="I7" s="3">
        <v>39.130434782608695</v>
      </c>
      <c r="J7" s="5">
        <v>36</v>
      </c>
      <c r="K7" s="5">
        <v>1</v>
      </c>
      <c r="L7" s="8">
        <v>6.4444444444444446</v>
      </c>
      <c r="M7" s="5">
        <v>1</v>
      </c>
      <c r="N7" s="5">
        <v>18</v>
      </c>
      <c r="O7" s="5">
        <v>59</v>
      </c>
      <c r="P7" s="5">
        <v>5</v>
      </c>
      <c r="Q7" s="5">
        <v>5</v>
      </c>
      <c r="R7" s="3">
        <v>-76</v>
      </c>
      <c r="S7" s="3">
        <v>-114</v>
      </c>
      <c r="T7" s="5">
        <v>50</v>
      </c>
      <c r="U7" s="5">
        <v>22</v>
      </c>
      <c r="V7" s="5">
        <v>22</v>
      </c>
      <c r="W7" s="5">
        <v>22</v>
      </c>
      <c r="X7" s="5">
        <v>29</v>
      </c>
      <c r="Y7" s="5">
        <v>30</v>
      </c>
      <c r="Z7" s="5">
        <v>30</v>
      </c>
      <c r="AA7" s="5">
        <v>34</v>
      </c>
      <c r="AB7" s="5">
        <v>65</v>
      </c>
      <c r="AC7" s="5">
        <v>86</v>
      </c>
      <c r="AD7" s="5">
        <v>206</v>
      </c>
      <c r="AE7" s="5">
        <v>52</v>
      </c>
    </row>
    <row r="8" spans="1:31" x14ac:dyDescent="0.2">
      <c r="A8" s="5">
        <v>12813</v>
      </c>
      <c r="B8" s="1" t="s">
        <v>3</v>
      </c>
      <c r="C8" s="5">
        <v>24</v>
      </c>
      <c r="D8" s="5">
        <v>19</v>
      </c>
      <c r="E8" s="5">
        <v>14</v>
      </c>
      <c r="F8" s="5">
        <v>34</v>
      </c>
      <c r="G8" s="3">
        <v>44</v>
      </c>
      <c r="H8" s="3">
        <v>42</v>
      </c>
      <c r="I8" s="3">
        <v>69.230769230769226</v>
      </c>
      <c r="J8" s="5">
        <v>40</v>
      </c>
      <c r="K8" s="5">
        <v>49</v>
      </c>
      <c r="L8" s="5">
        <v>19</v>
      </c>
      <c r="M8" s="5">
        <v>9</v>
      </c>
      <c r="N8" s="5">
        <v>22</v>
      </c>
      <c r="O8" s="5">
        <v>60</v>
      </c>
      <c r="P8" s="5">
        <v>8</v>
      </c>
      <c r="Q8" s="5">
        <v>4</v>
      </c>
      <c r="R8" s="3">
        <v>-52</v>
      </c>
      <c r="S8" s="3">
        <v>-84</v>
      </c>
      <c r="T8" s="5">
        <v>54</v>
      </c>
      <c r="U8" s="5">
        <v>41</v>
      </c>
      <c r="V8" s="5">
        <v>22</v>
      </c>
      <c r="W8" s="5">
        <v>22</v>
      </c>
      <c r="X8" s="5">
        <v>32</v>
      </c>
      <c r="Y8" s="5">
        <v>30</v>
      </c>
      <c r="Z8" s="5">
        <v>30</v>
      </c>
      <c r="AA8" s="5">
        <v>34</v>
      </c>
      <c r="AB8" s="5">
        <v>61</v>
      </c>
      <c r="AC8" s="5">
        <v>88</v>
      </c>
      <c r="AD8" s="5">
        <v>213</v>
      </c>
      <c r="AE8" s="5">
        <v>54</v>
      </c>
    </row>
    <row r="9" spans="1:31" x14ac:dyDescent="0.2">
      <c r="A9" s="5">
        <v>11633</v>
      </c>
      <c r="B9" s="1" t="s">
        <v>3</v>
      </c>
      <c r="C9" s="5">
        <v>24</v>
      </c>
      <c r="D9" s="5">
        <v>23</v>
      </c>
      <c r="E9" s="5">
        <v>1</v>
      </c>
      <c r="F9" s="5">
        <v>18</v>
      </c>
      <c r="G9" s="3">
        <v>56.60377358490566</v>
      </c>
      <c r="H9" s="3">
        <v>0</v>
      </c>
      <c r="I9" s="3">
        <v>56.521739130434781</v>
      </c>
      <c r="J9" s="5">
        <v>34</v>
      </c>
      <c r="K9" s="5">
        <v>1</v>
      </c>
      <c r="L9" s="5">
        <v>0</v>
      </c>
      <c r="M9" s="5">
        <v>2</v>
      </c>
      <c r="N9" s="8">
        <v>20.625</v>
      </c>
      <c r="O9" s="5">
        <v>57</v>
      </c>
      <c r="P9" s="5">
        <v>8</v>
      </c>
      <c r="Q9" s="5">
        <v>5</v>
      </c>
      <c r="R9" s="3">
        <v>-82</v>
      </c>
      <c r="S9" s="3">
        <v>-128</v>
      </c>
      <c r="T9" s="5">
        <v>47</v>
      </c>
      <c r="U9" s="5">
        <v>37</v>
      </c>
      <c r="V9" s="5">
        <v>22</v>
      </c>
      <c r="W9" s="5">
        <v>21</v>
      </c>
      <c r="X9" s="5">
        <v>28</v>
      </c>
      <c r="Y9" s="5">
        <v>30</v>
      </c>
      <c r="Z9" s="5">
        <v>30</v>
      </c>
      <c r="AA9" s="5">
        <v>18</v>
      </c>
      <c r="AB9" s="5">
        <v>64</v>
      </c>
      <c r="AC9" s="5">
        <v>88</v>
      </c>
      <c r="AD9" s="5">
        <v>209</v>
      </c>
      <c r="AE9" s="5">
        <v>51</v>
      </c>
    </row>
    <row r="10" spans="1:31" x14ac:dyDescent="0.2">
      <c r="A10" s="5">
        <v>13442</v>
      </c>
      <c r="B10" s="1" t="s">
        <v>3</v>
      </c>
      <c r="C10" s="5">
        <v>24</v>
      </c>
      <c r="D10" s="5">
        <v>25</v>
      </c>
      <c r="E10" s="5">
        <v>10</v>
      </c>
      <c r="F10" s="5">
        <v>4</v>
      </c>
      <c r="G10" s="3">
        <v>38</v>
      </c>
      <c r="H10" s="3">
        <v>8</v>
      </c>
      <c r="I10" s="3">
        <v>43.589743589743591</v>
      </c>
      <c r="J10" s="5">
        <v>39</v>
      </c>
      <c r="K10" s="5">
        <v>1</v>
      </c>
      <c r="L10" s="5">
        <v>5</v>
      </c>
      <c r="M10" s="5">
        <v>5</v>
      </c>
      <c r="N10" s="5">
        <v>15</v>
      </c>
      <c r="O10" s="5">
        <v>60</v>
      </c>
      <c r="P10" s="5">
        <v>8</v>
      </c>
      <c r="Q10" s="5">
        <v>4</v>
      </c>
      <c r="R10" s="3">
        <v>-51</v>
      </c>
      <c r="S10" s="3">
        <v>-165</v>
      </c>
      <c r="T10" s="5">
        <v>52</v>
      </c>
      <c r="U10" s="5">
        <v>27</v>
      </c>
      <c r="V10" s="5">
        <v>22</v>
      </c>
      <c r="W10" s="5">
        <v>22</v>
      </c>
      <c r="X10" s="5">
        <v>29</v>
      </c>
      <c r="Y10" s="5">
        <v>30</v>
      </c>
      <c r="Z10" s="5">
        <v>30</v>
      </c>
      <c r="AA10" s="5">
        <v>37</v>
      </c>
      <c r="AB10" s="5">
        <v>65</v>
      </c>
      <c r="AC10" s="5">
        <v>88</v>
      </c>
      <c r="AD10" s="5">
        <v>213</v>
      </c>
      <c r="AE10" s="5">
        <v>55</v>
      </c>
    </row>
    <row r="11" spans="1:31" x14ac:dyDescent="0.2">
      <c r="A11" s="5">
        <v>13773</v>
      </c>
      <c r="B11" s="1" t="s">
        <v>3</v>
      </c>
      <c r="C11" s="5">
        <v>20</v>
      </c>
      <c r="D11" s="5">
        <v>19</v>
      </c>
      <c r="E11" s="5">
        <v>0</v>
      </c>
      <c r="F11" s="5">
        <v>20</v>
      </c>
      <c r="G11" s="3">
        <v>26.415094339622641</v>
      </c>
      <c r="H11" s="3">
        <v>0</v>
      </c>
      <c r="I11" s="3">
        <v>43.478260869565219</v>
      </c>
      <c r="J11" s="5">
        <v>38</v>
      </c>
      <c r="K11" s="5">
        <v>2</v>
      </c>
      <c r="L11" s="5">
        <v>0</v>
      </c>
      <c r="M11" s="5">
        <v>2</v>
      </c>
      <c r="N11" s="5">
        <v>20</v>
      </c>
      <c r="O11" s="5">
        <v>58</v>
      </c>
      <c r="P11" s="5">
        <v>7</v>
      </c>
      <c r="Q11" s="5">
        <v>4</v>
      </c>
      <c r="R11" s="3">
        <v>-39</v>
      </c>
      <c r="S11" s="3">
        <v>-133</v>
      </c>
      <c r="T11" s="5">
        <v>51</v>
      </c>
      <c r="U11" s="5">
        <v>52</v>
      </c>
      <c r="V11" s="5">
        <v>22</v>
      </c>
      <c r="W11" s="5">
        <v>22</v>
      </c>
      <c r="X11" s="5">
        <v>28</v>
      </c>
      <c r="Y11" s="5">
        <v>28</v>
      </c>
      <c r="Z11" s="5">
        <v>29</v>
      </c>
      <c r="AA11" s="5">
        <v>39</v>
      </c>
      <c r="AB11" s="5">
        <v>43</v>
      </c>
      <c r="AC11" s="5">
        <v>88</v>
      </c>
      <c r="AD11" s="5">
        <v>218</v>
      </c>
      <c r="AE11" s="5">
        <v>43</v>
      </c>
    </row>
    <row r="12" spans="1:31" x14ac:dyDescent="0.2">
      <c r="A12" s="2" t="s">
        <v>37</v>
      </c>
      <c r="G12" s="9">
        <f>AVERAGE(G2:G11)</f>
        <v>44.75052410901467</v>
      </c>
      <c r="H12" s="9">
        <f t="shared" ref="H12:I12" si="0">AVERAGE(H2:H11)</f>
        <v>20.416666666666664</v>
      </c>
      <c r="I12" s="9">
        <f t="shared" si="0"/>
        <v>57.94624055493621</v>
      </c>
      <c r="L12" s="9">
        <f t="shared" ref="L12" si="1">AVERAGE(L2:L11)</f>
        <v>6.4444444444444446</v>
      </c>
      <c r="N12" s="9">
        <f t="shared" ref="N12" si="2">AVERAGE(N2:N11)</f>
        <v>20.625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9"/>
  <sheetViews>
    <sheetView topLeftCell="K1" workbookViewId="0">
      <selection sqref="A1:AE49"/>
    </sheetView>
  </sheetViews>
  <sheetFormatPr baseColWidth="10" defaultColWidth="8.83203125" defaultRowHeight="15" x14ac:dyDescent="0.2"/>
  <sheetData>
    <row r="1" spans="1:31" x14ac:dyDescent="0.2">
      <c r="A1" s="3" t="s">
        <v>4</v>
      </c>
      <c r="B1" s="3" t="s">
        <v>5</v>
      </c>
      <c r="C1" s="3" t="s">
        <v>6</v>
      </c>
      <c r="D1" s="3" t="s">
        <v>9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</row>
    <row r="2" spans="1:31" x14ac:dyDescent="0.2">
      <c r="A2" s="3">
        <v>1144</v>
      </c>
      <c r="B2" s="3" t="s">
        <v>35</v>
      </c>
      <c r="C2" s="3">
        <v>26</v>
      </c>
      <c r="D2" s="3">
        <v>35</v>
      </c>
      <c r="E2" s="3">
        <v>24</v>
      </c>
      <c r="F2" s="3">
        <v>36</v>
      </c>
      <c r="G2" s="3">
        <v>57.999999999999993</v>
      </c>
      <c r="H2" s="3">
        <v>48</v>
      </c>
      <c r="I2" s="3">
        <v>64.102564102564102</v>
      </c>
      <c r="J2" s="3">
        <v>48</v>
      </c>
      <c r="K2" s="3">
        <v>20</v>
      </c>
      <c r="L2" s="3">
        <v>20</v>
      </c>
      <c r="M2" s="3">
        <v>10</v>
      </c>
      <c r="N2" s="3">
        <v>28</v>
      </c>
      <c r="O2" s="3">
        <v>60</v>
      </c>
      <c r="P2" s="3">
        <v>7</v>
      </c>
      <c r="Q2" s="3">
        <v>4</v>
      </c>
      <c r="R2" s="3">
        <v>-41</v>
      </c>
      <c r="S2" s="3">
        <v>-112</v>
      </c>
      <c r="T2" s="3">
        <v>49</v>
      </c>
      <c r="U2" s="3">
        <v>26</v>
      </c>
      <c r="V2" s="3">
        <v>22</v>
      </c>
      <c r="W2" s="3">
        <v>22</v>
      </c>
      <c r="X2" s="3">
        <v>32</v>
      </c>
      <c r="Y2" s="3">
        <v>30</v>
      </c>
      <c r="Z2" s="3">
        <v>30</v>
      </c>
      <c r="AA2" s="3">
        <v>40</v>
      </c>
      <c r="AB2" s="3">
        <v>65</v>
      </c>
      <c r="AC2" s="3">
        <v>88</v>
      </c>
      <c r="AD2" s="3">
        <v>201</v>
      </c>
      <c r="AE2" s="3">
        <v>53</v>
      </c>
    </row>
    <row r="3" spans="1:31" x14ac:dyDescent="0.2">
      <c r="A3" s="3">
        <v>2571</v>
      </c>
      <c r="B3" s="3" t="s">
        <v>35</v>
      </c>
      <c r="C3" s="3">
        <v>27</v>
      </c>
      <c r="D3" s="3">
        <v>32</v>
      </c>
      <c r="E3" s="3">
        <v>15</v>
      </c>
      <c r="F3" s="3">
        <v>36</v>
      </c>
      <c r="G3" s="3">
        <v>75.471698113207552</v>
      </c>
      <c r="H3" s="3">
        <v>70</v>
      </c>
      <c r="I3" s="3">
        <v>86.956521739130437</v>
      </c>
      <c r="J3" s="3">
        <v>32</v>
      </c>
      <c r="K3" s="3">
        <v>19</v>
      </c>
      <c r="L3" s="3">
        <v>17</v>
      </c>
      <c r="M3" s="3">
        <v>10</v>
      </c>
      <c r="N3" s="3">
        <v>29</v>
      </c>
      <c r="O3" s="3">
        <v>58</v>
      </c>
      <c r="P3" s="3">
        <v>9</v>
      </c>
      <c r="Q3" s="3">
        <v>7</v>
      </c>
      <c r="R3" s="3">
        <v>-34</v>
      </c>
      <c r="S3" s="3">
        <v>-42</v>
      </c>
      <c r="T3" s="3">
        <v>60</v>
      </c>
      <c r="U3" s="3">
        <v>57</v>
      </c>
      <c r="V3" s="3">
        <v>21</v>
      </c>
      <c r="W3" s="3">
        <v>22</v>
      </c>
      <c r="X3" s="3">
        <v>30</v>
      </c>
      <c r="Y3" s="3">
        <v>30</v>
      </c>
      <c r="Z3" s="3">
        <v>30</v>
      </c>
      <c r="AA3" s="3">
        <v>38</v>
      </c>
      <c r="AB3" s="3">
        <v>64</v>
      </c>
      <c r="AC3" s="3">
        <v>88</v>
      </c>
      <c r="AD3" s="3">
        <v>218</v>
      </c>
      <c r="AE3" s="3">
        <v>61</v>
      </c>
    </row>
    <row r="4" spans="1:31" x14ac:dyDescent="0.2">
      <c r="A4" s="3">
        <v>5015</v>
      </c>
      <c r="B4" s="3" t="s">
        <v>35</v>
      </c>
      <c r="C4" s="3">
        <v>23</v>
      </c>
      <c r="D4" s="3">
        <v>12</v>
      </c>
      <c r="E4" s="3">
        <v>16</v>
      </c>
      <c r="F4" s="3">
        <v>35</v>
      </c>
      <c r="G4" s="3">
        <v>26.415094339622641</v>
      </c>
      <c r="H4" s="3">
        <v>30</v>
      </c>
      <c r="I4" s="3">
        <v>69.565217391304344</v>
      </c>
      <c r="J4" s="3">
        <v>44</v>
      </c>
      <c r="K4" s="3">
        <v>18</v>
      </c>
      <c r="L4" s="3">
        <v>18</v>
      </c>
      <c r="M4" s="3">
        <v>8</v>
      </c>
      <c r="N4" s="3">
        <v>30</v>
      </c>
      <c r="O4" s="3">
        <v>58</v>
      </c>
      <c r="P4" s="3">
        <v>6</v>
      </c>
      <c r="Q4" s="3">
        <v>5</v>
      </c>
      <c r="R4" s="3">
        <v>-91</v>
      </c>
      <c r="S4" s="3">
        <v>-231</v>
      </c>
      <c r="T4" s="3">
        <v>58</v>
      </c>
      <c r="U4" s="3">
        <v>23</v>
      </c>
      <c r="V4" s="3">
        <v>18</v>
      </c>
      <c r="W4" s="3">
        <v>22</v>
      </c>
      <c r="X4" s="3">
        <v>31</v>
      </c>
      <c r="Y4" s="3">
        <v>30</v>
      </c>
      <c r="Z4" s="3">
        <v>30</v>
      </c>
      <c r="AA4" s="3">
        <v>38</v>
      </c>
      <c r="AB4" s="3">
        <v>65</v>
      </c>
      <c r="AC4" s="3">
        <v>88</v>
      </c>
      <c r="AD4" s="3">
        <v>220</v>
      </c>
      <c r="AE4" s="3">
        <v>55</v>
      </c>
    </row>
    <row r="5" spans="1:31" x14ac:dyDescent="0.2">
      <c r="A5" s="3">
        <v>5228</v>
      </c>
      <c r="B5" s="3" t="s">
        <v>35</v>
      </c>
      <c r="C5" s="3">
        <v>25</v>
      </c>
      <c r="D5" s="3">
        <v>22</v>
      </c>
      <c r="E5" s="3">
        <v>16</v>
      </c>
      <c r="F5" s="3">
        <v>35</v>
      </c>
      <c r="G5" s="3">
        <v>69.811320754716974</v>
      </c>
      <c r="H5" s="3">
        <v>76.666666666666671</v>
      </c>
      <c r="I5" s="3">
        <v>86.956521739130437</v>
      </c>
      <c r="J5" s="3">
        <v>40</v>
      </c>
      <c r="K5" s="3">
        <v>13</v>
      </c>
      <c r="L5" s="3">
        <v>13</v>
      </c>
      <c r="M5" s="3">
        <v>5</v>
      </c>
      <c r="N5" s="3">
        <v>30</v>
      </c>
      <c r="O5" s="3">
        <v>60</v>
      </c>
      <c r="P5" s="3">
        <v>5</v>
      </c>
      <c r="Q5" s="3">
        <v>5</v>
      </c>
      <c r="R5" s="3">
        <v>-38</v>
      </c>
      <c r="S5" s="3">
        <v>-120</v>
      </c>
      <c r="T5" s="3">
        <v>60</v>
      </c>
      <c r="U5" s="3">
        <v>35</v>
      </c>
      <c r="V5" s="3">
        <v>21</v>
      </c>
      <c r="W5" s="3">
        <v>22</v>
      </c>
      <c r="X5" s="3">
        <v>31</v>
      </c>
      <c r="Y5" s="3">
        <v>30</v>
      </c>
      <c r="Z5" s="3">
        <v>30</v>
      </c>
      <c r="AA5" s="3">
        <v>38</v>
      </c>
      <c r="AB5" s="3">
        <v>62</v>
      </c>
      <c r="AC5" s="3">
        <v>88</v>
      </c>
      <c r="AD5" s="3">
        <v>222</v>
      </c>
      <c r="AE5" s="3">
        <v>55</v>
      </c>
    </row>
    <row r="6" spans="1:31" x14ac:dyDescent="0.2">
      <c r="A6" s="3">
        <v>6819</v>
      </c>
      <c r="B6" s="3" t="s">
        <v>35</v>
      </c>
      <c r="C6" s="3">
        <v>30</v>
      </c>
      <c r="D6" s="3">
        <v>31</v>
      </c>
      <c r="E6" s="3">
        <v>13</v>
      </c>
      <c r="F6" s="3">
        <v>35</v>
      </c>
      <c r="G6" s="3">
        <v>49.056603773584904</v>
      </c>
      <c r="H6" s="3">
        <v>23.333333333333332</v>
      </c>
      <c r="I6" s="3">
        <v>73.91304347826086</v>
      </c>
      <c r="J6" s="3">
        <v>33</v>
      </c>
      <c r="K6" s="3">
        <v>17</v>
      </c>
      <c r="L6" s="3">
        <v>17</v>
      </c>
      <c r="M6" s="3">
        <v>9</v>
      </c>
      <c r="N6" s="3">
        <v>23</v>
      </c>
      <c r="O6" s="3">
        <v>59</v>
      </c>
      <c r="P6" s="3">
        <v>7</v>
      </c>
      <c r="Q6" s="3">
        <v>5</v>
      </c>
      <c r="R6" s="3">
        <v>-42</v>
      </c>
      <c r="S6" s="3">
        <v>-77</v>
      </c>
      <c r="T6" s="3">
        <v>58</v>
      </c>
      <c r="U6" s="3">
        <v>61</v>
      </c>
      <c r="V6" s="3">
        <v>22</v>
      </c>
      <c r="W6" s="3">
        <v>22</v>
      </c>
      <c r="X6" s="3">
        <v>32</v>
      </c>
      <c r="Y6" s="3">
        <v>30</v>
      </c>
      <c r="Z6" s="3">
        <v>28</v>
      </c>
      <c r="AA6" s="3">
        <v>36</v>
      </c>
      <c r="AB6" s="3">
        <v>61</v>
      </c>
      <c r="AC6" s="3">
        <v>88</v>
      </c>
      <c r="AD6" s="3">
        <v>215</v>
      </c>
      <c r="AE6" s="3">
        <v>56</v>
      </c>
    </row>
    <row r="7" spans="1:31" x14ac:dyDescent="0.2">
      <c r="A7" s="3">
        <v>7522</v>
      </c>
      <c r="B7" s="3" t="s">
        <v>35</v>
      </c>
      <c r="C7" s="3">
        <v>25</v>
      </c>
      <c r="D7" s="3">
        <v>34</v>
      </c>
      <c r="E7" s="3">
        <v>19</v>
      </c>
      <c r="F7" s="3">
        <v>36</v>
      </c>
      <c r="G7" s="3">
        <v>60.377358490566039</v>
      </c>
      <c r="H7" s="3">
        <v>66.666666666666657</v>
      </c>
      <c r="I7" s="3">
        <v>91.304347826086953</v>
      </c>
      <c r="J7" s="3">
        <v>40</v>
      </c>
      <c r="K7" s="3">
        <v>17</v>
      </c>
      <c r="L7" s="3">
        <v>15</v>
      </c>
      <c r="M7" s="3">
        <v>10</v>
      </c>
      <c r="N7" s="3">
        <v>29</v>
      </c>
      <c r="O7" s="3">
        <v>58</v>
      </c>
      <c r="P7" s="3">
        <v>5</v>
      </c>
      <c r="Q7" s="3">
        <v>4</v>
      </c>
      <c r="R7" s="3">
        <v>-90</v>
      </c>
      <c r="S7" s="3">
        <v>-108</v>
      </c>
      <c r="T7" s="3">
        <v>58</v>
      </c>
      <c r="U7" s="3">
        <v>62</v>
      </c>
      <c r="V7" s="3">
        <v>21</v>
      </c>
      <c r="W7" s="3">
        <v>22</v>
      </c>
      <c r="X7" s="3">
        <v>31</v>
      </c>
      <c r="Y7" s="3">
        <v>30</v>
      </c>
      <c r="Z7" s="3">
        <v>30</v>
      </c>
      <c r="AA7" s="3">
        <v>40</v>
      </c>
      <c r="AB7" s="3">
        <v>65</v>
      </c>
      <c r="AC7" s="3">
        <v>88</v>
      </c>
      <c r="AD7" s="3">
        <v>215</v>
      </c>
      <c r="AE7" s="3">
        <v>56</v>
      </c>
    </row>
    <row r="8" spans="1:31" x14ac:dyDescent="0.2">
      <c r="A8" s="3">
        <v>7546</v>
      </c>
      <c r="B8" s="3" t="s">
        <v>35</v>
      </c>
      <c r="C8" s="3">
        <v>30</v>
      </c>
      <c r="D8" s="3">
        <v>44</v>
      </c>
      <c r="E8" s="3">
        <v>22</v>
      </c>
      <c r="F8" s="3">
        <v>36</v>
      </c>
      <c r="G8" s="3">
        <v>66</v>
      </c>
      <c r="H8" s="3">
        <v>62</v>
      </c>
      <c r="I8" s="3">
        <v>74.358974358974365</v>
      </c>
      <c r="J8" s="3">
        <v>49</v>
      </c>
      <c r="K8" s="3">
        <v>16</v>
      </c>
      <c r="L8" s="3">
        <v>16</v>
      </c>
      <c r="M8" s="3">
        <v>10</v>
      </c>
      <c r="N8" s="3">
        <v>28</v>
      </c>
      <c r="O8" s="3">
        <v>59</v>
      </c>
      <c r="P8" s="3">
        <v>9</v>
      </c>
      <c r="Q8" s="3">
        <v>8</v>
      </c>
      <c r="R8" s="3">
        <v>-29</v>
      </c>
      <c r="S8" s="3">
        <v>-46</v>
      </c>
      <c r="T8" s="3">
        <v>59</v>
      </c>
      <c r="U8" s="3">
        <v>89</v>
      </c>
      <c r="V8" s="3">
        <v>22</v>
      </c>
      <c r="W8" s="3">
        <v>22</v>
      </c>
      <c r="X8" s="3">
        <v>32</v>
      </c>
      <c r="Y8" s="3">
        <v>30</v>
      </c>
      <c r="Z8" s="3">
        <v>30</v>
      </c>
      <c r="AA8" s="3">
        <v>37</v>
      </c>
      <c r="AB8" s="3">
        <v>64</v>
      </c>
      <c r="AC8" s="3">
        <v>88</v>
      </c>
      <c r="AD8" s="3">
        <v>226</v>
      </c>
      <c r="AE8" s="3">
        <v>61</v>
      </c>
    </row>
    <row r="9" spans="1:31" x14ac:dyDescent="0.2">
      <c r="A9" s="3">
        <v>7973</v>
      </c>
      <c r="B9" s="3" t="s">
        <v>35</v>
      </c>
      <c r="C9" s="3">
        <v>24</v>
      </c>
      <c r="D9" s="3">
        <v>34</v>
      </c>
      <c r="E9" s="3">
        <v>17</v>
      </c>
      <c r="F9" s="3">
        <v>36</v>
      </c>
      <c r="G9" s="3">
        <v>49.056603773584904</v>
      </c>
      <c r="H9" s="3">
        <v>66.666666666666657</v>
      </c>
      <c r="I9" s="3">
        <v>91.304347826086953</v>
      </c>
      <c r="J9" s="3">
        <v>42</v>
      </c>
      <c r="K9" s="3">
        <v>18</v>
      </c>
      <c r="L9" s="3">
        <v>15</v>
      </c>
      <c r="M9" s="3">
        <v>9</v>
      </c>
      <c r="N9" s="3">
        <v>16</v>
      </c>
      <c r="O9" s="3">
        <v>57</v>
      </c>
      <c r="P9" s="3">
        <v>5</v>
      </c>
      <c r="Q9" s="3">
        <v>3</v>
      </c>
      <c r="R9" s="3">
        <v>-35</v>
      </c>
      <c r="S9" s="3">
        <v>-127</v>
      </c>
      <c r="T9" s="3">
        <v>44</v>
      </c>
      <c r="U9" s="3">
        <v>29</v>
      </c>
      <c r="V9" s="3">
        <v>18</v>
      </c>
      <c r="W9" s="3">
        <v>22</v>
      </c>
      <c r="X9" s="3">
        <v>32</v>
      </c>
      <c r="Y9" s="3">
        <v>16</v>
      </c>
      <c r="Z9" s="3">
        <v>25</v>
      </c>
      <c r="AA9" s="3">
        <v>18</v>
      </c>
      <c r="AB9" s="3">
        <v>60</v>
      </c>
      <c r="AC9" s="3">
        <v>85</v>
      </c>
      <c r="AD9" s="3">
        <v>194</v>
      </c>
      <c r="AE9" s="3">
        <v>52</v>
      </c>
    </row>
    <row r="10" spans="1:31" x14ac:dyDescent="0.2">
      <c r="A10" s="3">
        <v>8149</v>
      </c>
      <c r="B10" s="3" t="s">
        <v>35</v>
      </c>
      <c r="C10" s="3">
        <v>27</v>
      </c>
      <c r="D10" s="3">
        <v>27</v>
      </c>
      <c r="E10" s="3">
        <v>18</v>
      </c>
      <c r="F10" s="3">
        <v>34</v>
      </c>
      <c r="G10" s="3">
        <v>46</v>
      </c>
      <c r="H10" s="3">
        <v>36</v>
      </c>
      <c r="I10" s="3">
        <v>61.53846153846154</v>
      </c>
      <c r="J10" s="3">
        <v>43</v>
      </c>
      <c r="K10" s="3">
        <v>18</v>
      </c>
      <c r="L10" s="3">
        <v>18</v>
      </c>
      <c r="M10" s="3">
        <v>10</v>
      </c>
      <c r="N10" s="3">
        <v>23</v>
      </c>
      <c r="O10" s="3">
        <v>59</v>
      </c>
      <c r="P10" s="3">
        <v>6</v>
      </c>
      <c r="Q10" s="3">
        <v>5</v>
      </c>
      <c r="R10" s="3">
        <v>-54</v>
      </c>
      <c r="S10" s="3">
        <v>-95</v>
      </c>
      <c r="T10" s="3">
        <v>57</v>
      </c>
      <c r="U10" s="3">
        <v>56</v>
      </c>
      <c r="V10" s="3">
        <v>22</v>
      </c>
      <c r="W10" s="3">
        <v>21</v>
      </c>
      <c r="X10" s="3">
        <v>32</v>
      </c>
      <c r="Y10" s="3">
        <v>30</v>
      </c>
      <c r="Z10" s="3">
        <v>30</v>
      </c>
      <c r="AA10" s="3">
        <v>34</v>
      </c>
      <c r="AB10" s="3">
        <v>65</v>
      </c>
      <c r="AC10" s="3">
        <v>88</v>
      </c>
      <c r="AD10" s="3">
        <v>223</v>
      </c>
      <c r="AE10" s="3">
        <v>59</v>
      </c>
    </row>
    <row r="11" spans="1:31" x14ac:dyDescent="0.2">
      <c r="A11" s="3">
        <v>10306</v>
      </c>
      <c r="B11" s="3" t="s">
        <v>35</v>
      </c>
      <c r="C11" s="3">
        <v>27</v>
      </c>
      <c r="D11" s="3">
        <v>27</v>
      </c>
      <c r="E11" s="3">
        <v>14</v>
      </c>
      <c r="F11" s="3">
        <v>35</v>
      </c>
      <c r="G11" s="3">
        <v>81.132075471698116</v>
      </c>
      <c r="H11" s="3">
        <v>103.33333333333334</v>
      </c>
      <c r="I11" s="3">
        <v>91.304347826086953</v>
      </c>
      <c r="J11" s="3">
        <v>47</v>
      </c>
      <c r="K11" s="3">
        <v>20</v>
      </c>
      <c r="L11" s="3">
        <v>19</v>
      </c>
      <c r="M11" s="3">
        <v>10</v>
      </c>
      <c r="N11" s="3">
        <v>30</v>
      </c>
      <c r="O11" s="3">
        <v>60</v>
      </c>
      <c r="P11" s="3">
        <v>7</v>
      </c>
      <c r="Q11" s="3">
        <v>4</v>
      </c>
      <c r="R11" s="3">
        <v>-32</v>
      </c>
      <c r="S11" s="3">
        <v>-76</v>
      </c>
      <c r="T11" s="3">
        <v>60</v>
      </c>
      <c r="U11" s="3">
        <v>61</v>
      </c>
      <c r="V11" s="3">
        <v>21</v>
      </c>
      <c r="W11" s="3">
        <v>22</v>
      </c>
      <c r="X11" s="3">
        <v>31</v>
      </c>
      <c r="Y11" s="3">
        <v>30</v>
      </c>
      <c r="Z11" s="3">
        <v>30</v>
      </c>
      <c r="AA11" s="3">
        <v>30</v>
      </c>
      <c r="AB11" s="3">
        <v>63</v>
      </c>
      <c r="AC11" s="3">
        <v>88</v>
      </c>
      <c r="AD11" s="3">
        <v>227</v>
      </c>
      <c r="AE11" s="3">
        <v>57</v>
      </c>
    </row>
    <row r="12" spans="1:31" x14ac:dyDescent="0.2">
      <c r="A12" s="3">
        <v>10339</v>
      </c>
      <c r="B12" s="3" t="s">
        <v>35</v>
      </c>
      <c r="C12" s="3">
        <v>28</v>
      </c>
      <c r="D12" s="3">
        <v>35</v>
      </c>
      <c r="E12" s="3">
        <v>22</v>
      </c>
      <c r="F12" s="3">
        <v>36</v>
      </c>
      <c r="G12" s="3">
        <v>62.264150943396224</v>
      </c>
      <c r="H12" s="3">
        <v>43.333333333333336</v>
      </c>
      <c r="I12" s="3">
        <v>78.260869565217391</v>
      </c>
      <c r="J12" s="3">
        <v>45</v>
      </c>
      <c r="K12" s="3">
        <v>12</v>
      </c>
      <c r="L12" s="3">
        <v>11</v>
      </c>
      <c r="M12" s="3">
        <v>9</v>
      </c>
      <c r="N12" s="3">
        <v>24</v>
      </c>
      <c r="O12" s="3">
        <v>60</v>
      </c>
      <c r="P12" s="3">
        <v>9</v>
      </c>
      <c r="Q12" s="3">
        <v>8</v>
      </c>
      <c r="R12" s="3">
        <v>-32</v>
      </c>
      <c r="S12" s="3">
        <v>-75</v>
      </c>
      <c r="T12" s="3">
        <v>56</v>
      </c>
      <c r="U12" s="3">
        <v>75</v>
      </c>
      <c r="V12" s="3">
        <v>21</v>
      </c>
      <c r="W12" s="3">
        <v>22</v>
      </c>
      <c r="X12" s="3">
        <v>32</v>
      </c>
      <c r="Y12" s="3">
        <v>30</v>
      </c>
      <c r="Z12" s="3">
        <v>30</v>
      </c>
      <c r="AA12" s="3">
        <v>40</v>
      </c>
      <c r="AB12" s="3">
        <v>64</v>
      </c>
      <c r="AC12" s="3">
        <v>88</v>
      </c>
      <c r="AD12" s="3">
        <v>222</v>
      </c>
      <c r="AE12" s="3">
        <v>55</v>
      </c>
    </row>
    <row r="13" spans="1:31" x14ac:dyDescent="0.2">
      <c r="A13" s="3">
        <v>10347</v>
      </c>
      <c r="B13" s="3" t="s">
        <v>35</v>
      </c>
      <c r="C13" s="3">
        <v>27</v>
      </c>
      <c r="D13" s="3">
        <v>32</v>
      </c>
      <c r="E13" s="3">
        <v>16</v>
      </c>
      <c r="F13" s="3">
        <v>36</v>
      </c>
      <c r="G13" s="3">
        <v>66.037735849056602</v>
      </c>
      <c r="H13" s="3">
        <v>43.333333333333336</v>
      </c>
      <c r="I13" s="3">
        <v>73.91304347826086</v>
      </c>
      <c r="J13" s="3">
        <v>41</v>
      </c>
      <c r="K13" s="3">
        <v>6</v>
      </c>
      <c r="L13" s="3">
        <v>6</v>
      </c>
      <c r="M13" s="3">
        <v>2</v>
      </c>
      <c r="N13" s="3">
        <v>29</v>
      </c>
      <c r="O13" s="3">
        <v>60</v>
      </c>
      <c r="P13" s="3">
        <v>8</v>
      </c>
      <c r="Q13" s="3">
        <v>6</v>
      </c>
      <c r="R13" s="3">
        <v>-41</v>
      </c>
      <c r="S13" s="3">
        <v>-59</v>
      </c>
      <c r="T13" s="3">
        <v>52</v>
      </c>
      <c r="U13" s="3">
        <v>74</v>
      </c>
      <c r="V13" s="3">
        <v>19</v>
      </c>
      <c r="W13" s="3">
        <v>22</v>
      </c>
      <c r="X13" s="3">
        <v>32</v>
      </c>
      <c r="Y13" s="3">
        <v>30</v>
      </c>
      <c r="Z13" s="3">
        <v>30</v>
      </c>
      <c r="AA13" s="3">
        <v>38</v>
      </c>
      <c r="AB13" s="3">
        <v>64</v>
      </c>
      <c r="AC13" s="3">
        <v>87</v>
      </c>
      <c r="AD13" s="3">
        <v>211</v>
      </c>
      <c r="AE13" s="3">
        <v>55</v>
      </c>
    </row>
    <row r="14" spans="1:31" x14ac:dyDescent="0.2">
      <c r="A14" s="3">
        <v>10599</v>
      </c>
      <c r="B14" s="3" t="s">
        <v>35</v>
      </c>
      <c r="C14" s="3">
        <v>29</v>
      </c>
      <c r="D14" s="3">
        <v>37</v>
      </c>
      <c r="E14" s="3">
        <v>22</v>
      </c>
      <c r="F14" s="3">
        <v>36</v>
      </c>
      <c r="G14" s="3">
        <v>66</v>
      </c>
      <c r="H14" s="3">
        <v>57.999999999999993</v>
      </c>
      <c r="I14" s="3">
        <v>58.974358974358978</v>
      </c>
      <c r="J14" s="3">
        <v>47</v>
      </c>
      <c r="K14" s="3">
        <v>16</v>
      </c>
      <c r="L14" s="3">
        <v>16</v>
      </c>
      <c r="M14" s="3">
        <v>8</v>
      </c>
      <c r="N14" s="3">
        <v>25</v>
      </c>
      <c r="O14" s="3">
        <v>60</v>
      </c>
      <c r="P14" s="3">
        <v>8</v>
      </c>
      <c r="Q14" s="3">
        <v>8</v>
      </c>
      <c r="R14" s="3">
        <v>-34</v>
      </c>
      <c r="S14" s="3">
        <v>-77</v>
      </c>
      <c r="T14" s="3">
        <v>57</v>
      </c>
      <c r="U14" s="7">
        <v>51.041666666666664</v>
      </c>
      <c r="V14" s="3">
        <v>22</v>
      </c>
      <c r="W14" s="3">
        <v>22</v>
      </c>
      <c r="X14" s="3">
        <v>32</v>
      </c>
      <c r="Y14" s="3">
        <v>30</v>
      </c>
      <c r="Z14" s="3">
        <v>30</v>
      </c>
      <c r="AA14" s="3">
        <v>40</v>
      </c>
      <c r="AB14" s="3">
        <v>65</v>
      </c>
      <c r="AC14" s="3">
        <v>88</v>
      </c>
      <c r="AD14" s="3">
        <v>226</v>
      </c>
      <c r="AE14" s="3">
        <v>61</v>
      </c>
    </row>
    <row r="15" spans="1:31" x14ac:dyDescent="0.2">
      <c r="A15" s="3">
        <v>10631</v>
      </c>
      <c r="B15" s="3" t="s">
        <v>35</v>
      </c>
      <c r="C15" s="3">
        <v>27</v>
      </c>
      <c r="D15" s="3">
        <v>27</v>
      </c>
      <c r="E15" s="3">
        <v>18</v>
      </c>
      <c r="F15" s="3">
        <v>36</v>
      </c>
      <c r="G15" s="3">
        <v>57.999999999999993</v>
      </c>
      <c r="H15" s="3">
        <v>50</v>
      </c>
      <c r="I15" s="3">
        <v>71.794871794871796</v>
      </c>
      <c r="J15" s="3">
        <v>40</v>
      </c>
      <c r="K15" s="3">
        <v>14</v>
      </c>
      <c r="L15" s="3">
        <v>15</v>
      </c>
      <c r="M15" s="3">
        <v>9</v>
      </c>
      <c r="N15" s="3">
        <v>30</v>
      </c>
      <c r="O15" s="3">
        <v>60</v>
      </c>
      <c r="P15" s="3">
        <v>6</v>
      </c>
      <c r="Q15" s="3">
        <v>5</v>
      </c>
      <c r="R15" s="3">
        <v>-28</v>
      </c>
      <c r="S15" s="3">
        <v>-57</v>
      </c>
      <c r="T15" s="3">
        <v>60</v>
      </c>
      <c r="U15" s="3">
        <v>47</v>
      </c>
      <c r="V15" s="3">
        <v>22</v>
      </c>
      <c r="W15" s="3">
        <v>22</v>
      </c>
      <c r="X15" s="3">
        <v>32</v>
      </c>
      <c r="Y15" s="3">
        <v>30</v>
      </c>
      <c r="Z15" s="3">
        <v>30</v>
      </c>
      <c r="AA15" s="3">
        <v>40</v>
      </c>
      <c r="AB15" s="3">
        <v>64</v>
      </c>
      <c r="AC15" s="3">
        <v>88</v>
      </c>
      <c r="AD15" s="3">
        <v>226</v>
      </c>
      <c r="AE15" s="3">
        <v>60</v>
      </c>
    </row>
    <row r="16" spans="1:31" x14ac:dyDescent="0.2">
      <c r="A16" s="3">
        <v>10668</v>
      </c>
      <c r="B16" s="3" t="s">
        <v>35</v>
      </c>
      <c r="C16" s="3">
        <v>24</v>
      </c>
      <c r="D16" s="3">
        <v>23</v>
      </c>
      <c r="E16" s="3">
        <v>14</v>
      </c>
      <c r="F16" s="3">
        <v>36</v>
      </c>
      <c r="G16" s="3">
        <v>56.60377358490566</v>
      </c>
      <c r="H16" s="3">
        <v>66.666666666666657</v>
      </c>
      <c r="I16" s="3">
        <v>69.565217391304344</v>
      </c>
      <c r="J16" s="3">
        <v>37</v>
      </c>
      <c r="K16" s="3">
        <v>11</v>
      </c>
      <c r="L16" s="3">
        <v>11</v>
      </c>
      <c r="M16" s="3">
        <v>6</v>
      </c>
      <c r="N16" s="3">
        <v>30</v>
      </c>
      <c r="O16" s="3">
        <v>57</v>
      </c>
      <c r="P16" s="3">
        <v>5</v>
      </c>
      <c r="Q16" s="3">
        <v>4</v>
      </c>
      <c r="R16" s="3">
        <v>-50</v>
      </c>
      <c r="S16" s="3">
        <v>-115</v>
      </c>
      <c r="T16" s="3">
        <v>58</v>
      </c>
      <c r="U16" s="3">
        <v>41</v>
      </c>
      <c r="V16" s="3">
        <v>22</v>
      </c>
      <c r="W16" s="3">
        <v>22</v>
      </c>
      <c r="X16" s="3">
        <v>32</v>
      </c>
      <c r="Y16" s="3">
        <v>29</v>
      </c>
      <c r="Z16" s="3">
        <v>30</v>
      </c>
      <c r="AA16" s="3">
        <v>21</v>
      </c>
      <c r="AB16" s="3">
        <v>65</v>
      </c>
      <c r="AC16" s="3">
        <v>88</v>
      </c>
      <c r="AD16" s="3">
        <v>219</v>
      </c>
      <c r="AE16" s="3">
        <v>55</v>
      </c>
    </row>
    <row r="17" spans="1:31" x14ac:dyDescent="0.2">
      <c r="A17" s="3">
        <v>11257</v>
      </c>
      <c r="B17" s="3" t="s">
        <v>35</v>
      </c>
      <c r="C17" s="3">
        <v>28</v>
      </c>
      <c r="D17" s="3">
        <v>34</v>
      </c>
      <c r="E17" s="3">
        <v>22</v>
      </c>
      <c r="F17" s="3">
        <v>35</v>
      </c>
      <c r="G17" s="3">
        <v>71.698113207547166</v>
      </c>
      <c r="H17" s="3">
        <v>86.666666666666671</v>
      </c>
      <c r="I17" s="3">
        <v>91.304347826086953</v>
      </c>
      <c r="J17" s="3">
        <v>42</v>
      </c>
      <c r="K17" s="3">
        <v>15</v>
      </c>
      <c r="L17" s="3">
        <v>17</v>
      </c>
      <c r="M17" s="3">
        <v>6</v>
      </c>
      <c r="N17" s="3">
        <v>27</v>
      </c>
      <c r="O17" s="3">
        <v>60</v>
      </c>
      <c r="P17" s="3">
        <v>6</v>
      </c>
      <c r="Q17" s="3">
        <v>5</v>
      </c>
      <c r="R17" s="3">
        <v>-36</v>
      </c>
      <c r="S17" s="3">
        <v>-60</v>
      </c>
      <c r="T17" s="3">
        <v>56</v>
      </c>
      <c r="U17" s="3">
        <v>37</v>
      </c>
      <c r="V17" s="3">
        <v>20</v>
      </c>
      <c r="W17" s="3">
        <v>22</v>
      </c>
      <c r="X17" s="3">
        <v>30</v>
      </c>
      <c r="Y17" s="3">
        <v>30</v>
      </c>
      <c r="Z17" s="3">
        <v>30</v>
      </c>
      <c r="AA17" s="3">
        <v>37</v>
      </c>
      <c r="AB17" s="3">
        <v>64</v>
      </c>
      <c r="AC17" s="3">
        <v>88</v>
      </c>
      <c r="AD17" s="3">
        <v>217</v>
      </c>
      <c r="AE17" s="3">
        <v>59</v>
      </c>
    </row>
    <row r="18" spans="1:31" x14ac:dyDescent="0.2">
      <c r="A18" s="3">
        <v>11693</v>
      </c>
      <c r="B18" s="3" t="s">
        <v>35</v>
      </c>
      <c r="C18" s="3">
        <v>24</v>
      </c>
      <c r="D18" s="3">
        <v>27</v>
      </c>
      <c r="E18" s="3">
        <v>15</v>
      </c>
      <c r="F18" s="3">
        <v>36</v>
      </c>
      <c r="G18" s="3">
        <v>79.245283018867923</v>
      </c>
      <c r="H18" s="3">
        <v>90</v>
      </c>
      <c r="I18" s="3">
        <v>100</v>
      </c>
      <c r="J18" s="3">
        <v>45</v>
      </c>
      <c r="K18" s="3">
        <v>14</v>
      </c>
      <c r="L18" s="3">
        <v>10</v>
      </c>
      <c r="M18" s="3">
        <v>7</v>
      </c>
      <c r="N18" s="3">
        <v>28</v>
      </c>
      <c r="O18" s="3">
        <v>59</v>
      </c>
      <c r="P18" s="3">
        <v>6</v>
      </c>
      <c r="Q18" s="3">
        <v>4</v>
      </c>
      <c r="R18" s="3">
        <v>-41</v>
      </c>
      <c r="S18" s="3">
        <v>-88</v>
      </c>
      <c r="T18" s="3">
        <v>56</v>
      </c>
      <c r="U18" s="3">
        <v>37</v>
      </c>
      <c r="V18" s="3">
        <v>21</v>
      </c>
      <c r="W18" s="3">
        <v>22</v>
      </c>
      <c r="X18" s="3">
        <v>32</v>
      </c>
      <c r="Y18" s="3">
        <v>30</v>
      </c>
      <c r="Z18" s="3">
        <v>30</v>
      </c>
      <c r="AA18" s="3">
        <v>38</v>
      </c>
      <c r="AB18" s="3">
        <v>64</v>
      </c>
      <c r="AC18" s="3">
        <v>88</v>
      </c>
      <c r="AD18" s="3">
        <v>217</v>
      </c>
      <c r="AE18" s="3">
        <v>58</v>
      </c>
    </row>
    <row r="19" spans="1:31" x14ac:dyDescent="0.2">
      <c r="A19" s="3">
        <v>11733</v>
      </c>
      <c r="B19" s="3" t="s">
        <v>35</v>
      </c>
      <c r="C19" s="3">
        <v>24</v>
      </c>
      <c r="D19" s="3">
        <v>33</v>
      </c>
      <c r="E19" s="3">
        <v>14</v>
      </c>
      <c r="F19" s="3">
        <v>35</v>
      </c>
      <c r="G19" s="3">
        <v>38</v>
      </c>
      <c r="H19" s="3">
        <v>30</v>
      </c>
      <c r="I19" s="3">
        <v>56.410256410256409</v>
      </c>
      <c r="J19" s="3">
        <v>41</v>
      </c>
      <c r="K19" s="3">
        <v>20</v>
      </c>
      <c r="L19" s="3">
        <v>19</v>
      </c>
      <c r="M19" s="3">
        <v>9</v>
      </c>
      <c r="N19" s="3">
        <v>29</v>
      </c>
      <c r="O19" s="3">
        <v>59</v>
      </c>
      <c r="P19" s="3">
        <v>7</v>
      </c>
      <c r="Q19" s="3">
        <v>6</v>
      </c>
      <c r="R19" s="3">
        <v>-26</v>
      </c>
      <c r="S19" s="3">
        <v>-48</v>
      </c>
      <c r="T19" s="3">
        <v>53</v>
      </c>
      <c r="U19" s="3">
        <v>49</v>
      </c>
      <c r="V19" s="3">
        <v>22</v>
      </c>
      <c r="W19" s="3">
        <v>22</v>
      </c>
      <c r="X19" s="3">
        <v>32</v>
      </c>
      <c r="Y19" s="3">
        <v>30</v>
      </c>
      <c r="Z19" s="3">
        <v>30</v>
      </c>
      <c r="AA19" s="3">
        <v>36</v>
      </c>
      <c r="AB19" s="3">
        <v>62</v>
      </c>
      <c r="AC19" s="3">
        <v>84</v>
      </c>
      <c r="AD19" s="3">
        <v>216</v>
      </c>
      <c r="AE19" s="3">
        <v>55</v>
      </c>
    </row>
    <row r="20" spans="1:31" x14ac:dyDescent="0.2">
      <c r="A20" s="3">
        <v>11752</v>
      </c>
      <c r="B20" s="3" t="s">
        <v>35</v>
      </c>
      <c r="C20" s="3">
        <v>28</v>
      </c>
      <c r="D20" s="3">
        <v>33</v>
      </c>
      <c r="E20" s="3">
        <v>21</v>
      </c>
      <c r="F20" s="3">
        <v>36</v>
      </c>
      <c r="G20" s="3">
        <v>38</v>
      </c>
      <c r="H20" s="3">
        <v>30</v>
      </c>
      <c r="I20" s="3">
        <v>51.282051282051277</v>
      </c>
      <c r="J20" s="3">
        <v>41</v>
      </c>
      <c r="K20" s="3">
        <v>14</v>
      </c>
      <c r="L20" s="3">
        <v>14</v>
      </c>
      <c r="M20" s="3">
        <v>9</v>
      </c>
      <c r="N20" s="3">
        <v>23</v>
      </c>
      <c r="O20" s="3">
        <v>60</v>
      </c>
      <c r="P20" s="3">
        <v>8</v>
      </c>
      <c r="Q20" s="3">
        <v>6</v>
      </c>
      <c r="R20" s="3">
        <v>-41</v>
      </c>
      <c r="S20" s="3">
        <v>-51</v>
      </c>
      <c r="T20" s="3">
        <v>52</v>
      </c>
      <c r="U20" s="3">
        <v>58</v>
      </c>
      <c r="V20" s="3">
        <v>22</v>
      </c>
      <c r="W20" s="3">
        <v>22</v>
      </c>
      <c r="X20" s="3">
        <v>32</v>
      </c>
      <c r="Y20" s="3">
        <v>30</v>
      </c>
      <c r="Z20" s="3">
        <v>30</v>
      </c>
      <c r="AA20" s="3">
        <v>36</v>
      </c>
      <c r="AB20" s="3">
        <v>63</v>
      </c>
      <c r="AC20" s="3">
        <v>88</v>
      </c>
      <c r="AD20" s="3">
        <v>219</v>
      </c>
      <c r="AE20" s="3">
        <v>55</v>
      </c>
    </row>
    <row r="21" spans="1:31" x14ac:dyDescent="0.2">
      <c r="A21" s="3">
        <v>11841</v>
      </c>
      <c r="B21" s="3" t="s">
        <v>35</v>
      </c>
      <c r="C21" s="3">
        <v>27</v>
      </c>
      <c r="D21" s="3">
        <v>37</v>
      </c>
      <c r="E21" s="3">
        <v>22</v>
      </c>
      <c r="F21" s="3">
        <v>36</v>
      </c>
      <c r="G21" s="3">
        <v>77.358490566037744</v>
      </c>
      <c r="H21" s="3">
        <v>96.666666666666671</v>
      </c>
      <c r="I21" s="3">
        <v>91.304347826086953</v>
      </c>
      <c r="J21" s="3">
        <v>39</v>
      </c>
      <c r="K21" s="3">
        <v>14</v>
      </c>
      <c r="L21" s="3">
        <v>18</v>
      </c>
      <c r="M21" s="3">
        <v>10</v>
      </c>
      <c r="N21" s="3">
        <v>30</v>
      </c>
      <c r="O21" s="3">
        <v>60</v>
      </c>
      <c r="P21" s="3">
        <v>6</v>
      </c>
      <c r="Q21" s="3">
        <v>6</v>
      </c>
      <c r="R21" s="3">
        <v>-50</v>
      </c>
      <c r="S21" s="3">
        <v>-110</v>
      </c>
      <c r="T21" s="3">
        <v>59</v>
      </c>
      <c r="U21" s="3">
        <v>60</v>
      </c>
      <c r="V21" s="3">
        <v>20</v>
      </c>
      <c r="W21" s="3">
        <v>22</v>
      </c>
      <c r="X21" s="3">
        <v>32</v>
      </c>
      <c r="Y21" s="3">
        <v>30</v>
      </c>
      <c r="Z21" s="3">
        <v>30</v>
      </c>
      <c r="AA21" s="3">
        <v>38</v>
      </c>
      <c r="AB21" s="3">
        <v>65</v>
      </c>
      <c r="AC21" s="3">
        <v>86</v>
      </c>
      <c r="AD21" s="3">
        <v>220</v>
      </c>
      <c r="AE21" s="3">
        <v>58</v>
      </c>
    </row>
    <row r="22" spans="1:31" x14ac:dyDescent="0.2">
      <c r="A22" s="3">
        <v>12073</v>
      </c>
      <c r="B22" s="3" t="s">
        <v>35</v>
      </c>
      <c r="C22" s="3">
        <v>24</v>
      </c>
      <c r="D22" s="3">
        <v>29</v>
      </c>
      <c r="E22" s="3">
        <v>20</v>
      </c>
      <c r="F22" s="3">
        <v>35</v>
      </c>
      <c r="G22" s="3">
        <v>75.471698113207552</v>
      </c>
      <c r="H22" s="3">
        <v>80</v>
      </c>
      <c r="I22" s="3">
        <v>95.652173913043484</v>
      </c>
      <c r="J22" s="3">
        <v>43</v>
      </c>
      <c r="K22" s="3">
        <v>12</v>
      </c>
      <c r="L22" s="3">
        <v>13</v>
      </c>
      <c r="M22" s="3">
        <v>9</v>
      </c>
      <c r="N22" s="3">
        <v>22</v>
      </c>
      <c r="O22" s="3">
        <v>59</v>
      </c>
      <c r="P22" s="3">
        <v>6</v>
      </c>
      <c r="Q22" s="3">
        <v>5</v>
      </c>
      <c r="R22" s="3">
        <v>-70</v>
      </c>
      <c r="S22" s="3">
        <v>-142</v>
      </c>
      <c r="T22" s="3">
        <v>54</v>
      </c>
      <c r="U22" s="3">
        <v>40</v>
      </c>
      <c r="V22" s="3">
        <v>22</v>
      </c>
      <c r="W22" s="3">
        <v>22</v>
      </c>
      <c r="X22" s="3">
        <v>31</v>
      </c>
      <c r="Y22" s="3">
        <v>30</v>
      </c>
      <c r="Z22" s="3">
        <v>30</v>
      </c>
      <c r="AA22" s="3">
        <v>34</v>
      </c>
      <c r="AB22" s="3">
        <v>65</v>
      </c>
      <c r="AC22" s="3">
        <v>86</v>
      </c>
      <c r="AD22" s="3">
        <v>216</v>
      </c>
      <c r="AE22" s="3">
        <v>51</v>
      </c>
    </row>
    <row r="23" spans="1:31" x14ac:dyDescent="0.2">
      <c r="A23" s="3">
        <v>12158</v>
      </c>
      <c r="B23" s="3" t="s">
        <v>35</v>
      </c>
      <c r="C23" s="3">
        <v>27</v>
      </c>
      <c r="D23" s="3">
        <v>21</v>
      </c>
      <c r="E23" s="3">
        <v>13</v>
      </c>
      <c r="F23" s="3">
        <v>32</v>
      </c>
      <c r="G23" s="3">
        <v>60.377358490566039</v>
      </c>
      <c r="H23" s="3">
        <v>83.333333333333343</v>
      </c>
      <c r="I23" s="3">
        <v>91.304347826086953</v>
      </c>
      <c r="J23" s="3">
        <v>47</v>
      </c>
      <c r="K23" s="3">
        <v>19</v>
      </c>
      <c r="L23" s="3">
        <v>19</v>
      </c>
      <c r="M23" s="3">
        <v>10</v>
      </c>
      <c r="N23" s="3">
        <v>30</v>
      </c>
      <c r="O23" s="3">
        <v>56</v>
      </c>
      <c r="P23" s="3">
        <v>5</v>
      </c>
      <c r="Q23" s="3">
        <v>5</v>
      </c>
      <c r="R23" s="3">
        <v>-63</v>
      </c>
      <c r="S23" s="3">
        <v>-123</v>
      </c>
      <c r="T23" s="3">
        <v>57</v>
      </c>
      <c r="U23" s="3">
        <v>27</v>
      </c>
      <c r="V23" s="3">
        <v>22</v>
      </c>
      <c r="W23" s="3">
        <v>22</v>
      </c>
      <c r="X23" s="3">
        <v>30</v>
      </c>
      <c r="Y23" s="3">
        <v>30</v>
      </c>
      <c r="Z23" s="3">
        <v>30</v>
      </c>
      <c r="AA23" s="3">
        <v>36</v>
      </c>
      <c r="AB23" s="3">
        <v>65</v>
      </c>
      <c r="AC23" s="3">
        <v>88</v>
      </c>
      <c r="AD23" s="3">
        <v>225</v>
      </c>
      <c r="AE23" s="3">
        <v>59</v>
      </c>
    </row>
    <row r="24" spans="1:31" x14ac:dyDescent="0.2">
      <c r="A24" s="3">
        <v>12269</v>
      </c>
      <c r="B24" s="3" t="s">
        <v>35</v>
      </c>
      <c r="C24" s="3">
        <v>28</v>
      </c>
      <c r="D24" s="3">
        <v>29</v>
      </c>
      <c r="E24" s="3">
        <v>17</v>
      </c>
      <c r="F24" s="3">
        <v>34</v>
      </c>
      <c r="G24" s="3">
        <v>56.000000000000007</v>
      </c>
      <c r="H24" s="3">
        <v>57.999999999999993</v>
      </c>
      <c r="I24" s="3">
        <v>79.487179487179489</v>
      </c>
      <c r="J24" s="3">
        <v>37</v>
      </c>
      <c r="K24" s="3">
        <v>13</v>
      </c>
      <c r="L24" s="3">
        <v>13</v>
      </c>
      <c r="M24" s="3">
        <v>8</v>
      </c>
      <c r="N24" s="3">
        <v>30</v>
      </c>
      <c r="O24" s="3">
        <v>60</v>
      </c>
      <c r="P24" s="3">
        <v>7</v>
      </c>
      <c r="Q24" s="3">
        <v>5</v>
      </c>
      <c r="R24" s="3">
        <v>-31</v>
      </c>
      <c r="S24" s="3">
        <v>-93</v>
      </c>
      <c r="T24" s="3">
        <v>60</v>
      </c>
      <c r="U24" s="3">
        <v>58</v>
      </c>
      <c r="V24" s="3">
        <v>21</v>
      </c>
      <c r="W24" s="3">
        <v>22</v>
      </c>
      <c r="X24" s="3">
        <v>32</v>
      </c>
      <c r="Y24" s="3">
        <v>30</v>
      </c>
      <c r="Z24" s="3">
        <v>30</v>
      </c>
      <c r="AA24" s="3">
        <v>38</v>
      </c>
      <c r="AB24" s="3">
        <v>63</v>
      </c>
      <c r="AC24" s="3">
        <v>88</v>
      </c>
      <c r="AD24" s="3">
        <v>224</v>
      </c>
      <c r="AE24" s="3">
        <v>59</v>
      </c>
    </row>
    <row r="25" spans="1:31" x14ac:dyDescent="0.2">
      <c r="A25" s="3">
        <v>12272</v>
      </c>
      <c r="B25" s="3" t="s">
        <v>35</v>
      </c>
      <c r="C25" s="3">
        <v>27</v>
      </c>
      <c r="D25" s="3">
        <v>29</v>
      </c>
      <c r="E25" s="3">
        <v>16</v>
      </c>
      <c r="F25" s="3">
        <v>36</v>
      </c>
      <c r="G25" s="3">
        <v>66</v>
      </c>
      <c r="H25" s="3">
        <v>52</v>
      </c>
      <c r="I25" s="3">
        <v>69.230769230769226</v>
      </c>
      <c r="J25" s="3">
        <v>44</v>
      </c>
      <c r="K25" s="3">
        <v>13</v>
      </c>
      <c r="L25" s="3">
        <v>14</v>
      </c>
      <c r="M25" s="3">
        <v>10</v>
      </c>
      <c r="N25" s="3">
        <v>30</v>
      </c>
      <c r="O25" s="3">
        <v>60</v>
      </c>
      <c r="P25" s="3">
        <v>6</v>
      </c>
      <c r="Q25" s="3">
        <v>5</v>
      </c>
      <c r="R25" s="3">
        <v>-27</v>
      </c>
      <c r="S25" s="3">
        <v>-75</v>
      </c>
      <c r="T25" s="3">
        <v>57</v>
      </c>
      <c r="U25" s="3">
        <v>36</v>
      </c>
      <c r="V25" s="3">
        <v>22</v>
      </c>
      <c r="W25" s="3">
        <v>21</v>
      </c>
      <c r="X25" s="3">
        <v>31</v>
      </c>
      <c r="Y25" s="3">
        <v>29</v>
      </c>
      <c r="Z25" s="3">
        <v>30</v>
      </c>
      <c r="AA25" s="3">
        <v>38</v>
      </c>
      <c r="AB25" s="3">
        <v>63</v>
      </c>
      <c r="AC25" s="3">
        <v>88</v>
      </c>
      <c r="AD25" s="3">
        <v>215</v>
      </c>
      <c r="AE25" s="3">
        <v>60</v>
      </c>
    </row>
    <row r="26" spans="1:31" x14ac:dyDescent="0.2">
      <c r="A26" s="3">
        <v>12370</v>
      </c>
      <c r="B26" s="3" t="s">
        <v>35</v>
      </c>
      <c r="C26" s="3">
        <v>27</v>
      </c>
      <c r="D26" s="3">
        <v>30</v>
      </c>
      <c r="E26" s="3">
        <v>12</v>
      </c>
      <c r="F26" s="3">
        <v>34</v>
      </c>
      <c r="G26" s="3">
        <v>64</v>
      </c>
      <c r="H26" s="3">
        <v>40</v>
      </c>
      <c r="I26" s="3">
        <v>66.666666666666657</v>
      </c>
      <c r="J26" s="3">
        <v>40</v>
      </c>
      <c r="K26" s="3">
        <v>18</v>
      </c>
      <c r="L26" s="3">
        <v>18</v>
      </c>
      <c r="M26" s="3">
        <v>10</v>
      </c>
      <c r="N26" s="3">
        <v>27</v>
      </c>
      <c r="O26" s="3">
        <v>60</v>
      </c>
      <c r="P26" s="3">
        <v>9</v>
      </c>
      <c r="Q26" s="3">
        <v>7</v>
      </c>
      <c r="R26" s="3">
        <v>-27</v>
      </c>
      <c r="S26" s="3">
        <v>-44</v>
      </c>
      <c r="T26" s="3">
        <v>54</v>
      </c>
      <c r="U26" s="3">
        <v>87</v>
      </c>
      <c r="V26" s="3">
        <v>22</v>
      </c>
      <c r="W26" s="3">
        <v>22</v>
      </c>
      <c r="X26" s="3">
        <v>32</v>
      </c>
      <c r="Y26" s="3">
        <v>30</v>
      </c>
      <c r="Z26" s="3">
        <v>30</v>
      </c>
      <c r="AA26" s="3">
        <v>40</v>
      </c>
      <c r="AB26" s="3">
        <v>65</v>
      </c>
      <c r="AC26" s="3">
        <v>88</v>
      </c>
      <c r="AD26" s="3">
        <v>214</v>
      </c>
      <c r="AE26" s="3">
        <v>54</v>
      </c>
    </row>
    <row r="27" spans="1:31" s="5" customFormat="1" x14ac:dyDescent="0.2">
      <c r="A27" s="5">
        <v>10285</v>
      </c>
      <c r="B27" s="1" t="s">
        <v>2</v>
      </c>
      <c r="C27" s="5">
        <v>25</v>
      </c>
      <c r="D27" s="5">
        <v>38</v>
      </c>
      <c r="E27" s="5">
        <v>19</v>
      </c>
      <c r="F27" s="5">
        <v>36</v>
      </c>
      <c r="G27" s="3">
        <v>45.283018867924532</v>
      </c>
      <c r="H27" s="3">
        <v>63.333333333333329</v>
      </c>
      <c r="I27" s="3">
        <v>73.91304347826086</v>
      </c>
      <c r="J27" s="5">
        <v>45</v>
      </c>
      <c r="K27" s="5">
        <v>16</v>
      </c>
      <c r="L27" s="5">
        <v>16</v>
      </c>
      <c r="M27" s="5">
        <v>10</v>
      </c>
      <c r="N27" s="5">
        <v>29</v>
      </c>
      <c r="O27" s="5">
        <v>59</v>
      </c>
      <c r="P27" s="5">
        <v>5</v>
      </c>
      <c r="Q27" s="5">
        <v>5</v>
      </c>
      <c r="R27" s="3">
        <v>-61</v>
      </c>
      <c r="S27" s="3">
        <v>-199</v>
      </c>
      <c r="T27" s="5">
        <v>57</v>
      </c>
      <c r="U27" s="5">
        <v>18</v>
      </c>
      <c r="V27" s="5">
        <v>22</v>
      </c>
      <c r="W27" s="5">
        <v>22</v>
      </c>
      <c r="X27" s="5">
        <v>32</v>
      </c>
      <c r="Y27" s="5">
        <v>26</v>
      </c>
      <c r="Z27" s="5">
        <v>30</v>
      </c>
      <c r="AA27" s="5">
        <v>31</v>
      </c>
      <c r="AB27" s="5">
        <v>64</v>
      </c>
      <c r="AC27" s="5">
        <v>84</v>
      </c>
      <c r="AD27" s="5">
        <v>212</v>
      </c>
      <c r="AE27" s="5">
        <v>57</v>
      </c>
    </row>
    <row r="28" spans="1:31" s="5" customFormat="1" x14ac:dyDescent="0.2">
      <c r="A28" s="5">
        <v>8539</v>
      </c>
      <c r="B28" s="1" t="s">
        <v>2</v>
      </c>
      <c r="C28" s="5">
        <v>19</v>
      </c>
      <c r="D28" s="8">
        <v>26.09090909090909</v>
      </c>
      <c r="E28" s="8">
        <v>13.727272727272727</v>
      </c>
      <c r="F28" s="8">
        <v>34.272727272727273</v>
      </c>
      <c r="G28" s="8">
        <v>32.654088050314463</v>
      </c>
      <c r="H28" s="8">
        <v>33.944444444444436</v>
      </c>
      <c r="I28" s="8">
        <v>65.932738758825721</v>
      </c>
      <c r="J28" s="5">
        <v>44</v>
      </c>
      <c r="K28" s="5">
        <v>15</v>
      </c>
      <c r="L28" s="5">
        <v>15</v>
      </c>
      <c r="M28" s="5">
        <v>10</v>
      </c>
      <c r="N28" s="5">
        <v>29</v>
      </c>
      <c r="O28" s="5">
        <v>59</v>
      </c>
      <c r="P28" s="5">
        <v>3</v>
      </c>
      <c r="Q28" s="5">
        <v>3</v>
      </c>
      <c r="R28" s="3">
        <v>-42</v>
      </c>
      <c r="S28" s="3">
        <v>-123</v>
      </c>
      <c r="T28" s="5">
        <v>23</v>
      </c>
      <c r="U28" s="5">
        <v>21</v>
      </c>
      <c r="V28" s="5">
        <v>14</v>
      </c>
      <c r="W28" s="5">
        <v>22</v>
      </c>
      <c r="X28" s="8">
        <v>30.7</v>
      </c>
      <c r="Y28" s="8">
        <v>23.2</v>
      </c>
      <c r="Z28" s="5">
        <v>15</v>
      </c>
      <c r="AA28" s="5">
        <v>5</v>
      </c>
      <c r="AB28" s="8">
        <v>52.083333333333336</v>
      </c>
      <c r="AC28" s="8">
        <v>73.181818181818187</v>
      </c>
      <c r="AD28" s="5">
        <v>169</v>
      </c>
      <c r="AE28" s="5">
        <v>53</v>
      </c>
    </row>
    <row r="29" spans="1:31" s="5" customFormat="1" x14ac:dyDescent="0.2">
      <c r="A29" s="5">
        <v>10361</v>
      </c>
      <c r="B29" s="1" t="s">
        <v>2</v>
      </c>
      <c r="C29" s="5">
        <v>14</v>
      </c>
      <c r="D29" s="5">
        <v>12</v>
      </c>
      <c r="E29" s="5">
        <v>7</v>
      </c>
      <c r="F29" s="5">
        <v>28</v>
      </c>
      <c r="G29" s="3">
        <v>20.754716981132077</v>
      </c>
      <c r="H29" s="3">
        <v>20</v>
      </c>
      <c r="I29" s="3">
        <v>86.956521739130437</v>
      </c>
      <c r="J29" s="5">
        <v>26</v>
      </c>
      <c r="K29" s="5">
        <v>10</v>
      </c>
      <c r="L29" s="5">
        <v>10</v>
      </c>
      <c r="M29" s="5">
        <v>8</v>
      </c>
      <c r="N29" s="5">
        <v>0</v>
      </c>
      <c r="O29" s="5">
        <v>43</v>
      </c>
      <c r="P29" s="5">
        <v>5</v>
      </c>
      <c r="Q29" s="5">
        <v>4</v>
      </c>
      <c r="R29" s="3">
        <v>-108</v>
      </c>
      <c r="S29" s="7">
        <v>-181.4</v>
      </c>
      <c r="T29" s="5">
        <v>53</v>
      </c>
      <c r="U29" s="5">
        <v>14</v>
      </c>
      <c r="V29" s="5">
        <v>21</v>
      </c>
      <c r="W29" s="5">
        <v>22</v>
      </c>
      <c r="X29" s="5">
        <v>32</v>
      </c>
      <c r="Y29" s="8">
        <v>23.2</v>
      </c>
      <c r="Z29" s="5">
        <v>26</v>
      </c>
      <c r="AA29" s="5">
        <v>40</v>
      </c>
      <c r="AB29" s="5">
        <v>29</v>
      </c>
      <c r="AC29" s="5">
        <v>72</v>
      </c>
      <c r="AD29" s="5">
        <v>214</v>
      </c>
      <c r="AE29" s="5">
        <v>46</v>
      </c>
    </row>
    <row r="30" spans="1:31" s="5" customFormat="1" x14ac:dyDescent="0.2">
      <c r="A30" s="5">
        <v>12756</v>
      </c>
      <c r="B30" s="1" t="s">
        <v>2</v>
      </c>
      <c r="C30" s="5">
        <v>14</v>
      </c>
      <c r="D30" s="8">
        <v>26.09090909090909</v>
      </c>
      <c r="E30" s="8">
        <v>13.727272727272727</v>
      </c>
      <c r="F30" s="8">
        <v>34.272727272727273</v>
      </c>
      <c r="G30" s="3">
        <v>10</v>
      </c>
      <c r="H30" s="3">
        <v>8</v>
      </c>
      <c r="I30" s="3">
        <v>20.512820512820511</v>
      </c>
      <c r="J30" s="8">
        <v>36.272727272727273</v>
      </c>
      <c r="K30" s="5">
        <v>10</v>
      </c>
      <c r="L30" s="5">
        <v>15</v>
      </c>
      <c r="M30" s="5">
        <v>8</v>
      </c>
      <c r="N30" s="5">
        <v>17</v>
      </c>
      <c r="O30" s="5">
        <v>57</v>
      </c>
      <c r="P30" s="5">
        <v>4</v>
      </c>
      <c r="Q30" s="5">
        <v>3</v>
      </c>
      <c r="R30" s="3">
        <v>-94</v>
      </c>
      <c r="S30" s="3">
        <v>-398</v>
      </c>
      <c r="T30" s="5">
        <v>27</v>
      </c>
      <c r="U30" s="5">
        <v>9</v>
      </c>
      <c r="V30" s="5">
        <v>5</v>
      </c>
      <c r="W30" s="5">
        <v>21</v>
      </c>
      <c r="X30" s="5">
        <v>29</v>
      </c>
      <c r="Y30" s="5">
        <v>7</v>
      </c>
      <c r="Z30" s="5">
        <v>24</v>
      </c>
      <c r="AA30" s="5">
        <v>32</v>
      </c>
      <c r="AB30" s="5">
        <v>19</v>
      </c>
      <c r="AC30" s="5">
        <v>47</v>
      </c>
      <c r="AD30" s="5">
        <v>208</v>
      </c>
      <c r="AE30" s="5">
        <v>51</v>
      </c>
    </row>
    <row r="31" spans="1:31" s="5" customFormat="1" x14ac:dyDescent="0.2">
      <c r="A31" s="5">
        <v>12828</v>
      </c>
      <c r="B31" s="1" t="s">
        <v>2</v>
      </c>
      <c r="C31" s="5">
        <v>22</v>
      </c>
      <c r="D31" s="5">
        <v>36</v>
      </c>
      <c r="E31" s="5">
        <v>16</v>
      </c>
      <c r="F31" s="5">
        <v>36</v>
      </c>
      <c r="G31" s="3">
        <v>54.716981132075468</v>
      </c>
      <c r="H31" s="3">
        <v>60</v>
      </c>
      <c r="I31" s="3">
        <v>91.304347826086953</v>
      </c>
      <c r="J31" s="5">
        <v>32</v>
      </c>
      <c r="K31" s="5">
        <v>10</v>
      </c>
      <c r="L31" s="5">
        <v>10</v>
      </c>
      <c r="M31" s="5">
        <v>8</v>
      </c>
      <c r="N31" s="8">
        <v>22</v>
      </c>
      <c r="O31" s="5">
        <v>57</v>
      </c>
      <c r="P31" s="5">
        <v>5</v>
      </c>
      <c r="Q31" s="5">
        <v>3</v>
      </c>
      <c r="R31" s="3">
        <v>-78</v>
      </c>
      <c r="S31" s="3">
        <v>-204</v>
      </c>
      <c r="T31" s="5">
        <v>49</v>
      </c>
      <c r="U31" s="5">
        <v>17</v>
      </c>
      <c r="V31" s="5">
        <v>20</v>
      </c>
      <c r="W31" s="5">
        <v>21</v>
      </c>
      <c r="X31" s="5">
        <v>31</v>
      </c>
      <c r="Y31" s="5">
        <v>25</v>
      </c>
      <c r="Z31" s="5">
        <v>30</v>
      </c>
      <c r="AA31" s="5">
        <v>35</v>
      </c>
      <c r="AB31" s="5">
        <v>59</v>
      </c>
      <c r="AC31" s="5">
        <v>87</v>
      </c>
      <c r="AD31" s="5">
        <v>202</v>
      </c>
      <c r="AE31" s="5">
        <v>51</v>
      </c>
    </row>
    <row r="32" spans="1:31" s="5" customFormat="1" x14ac:dyDescent="0.2">
      <c r="A32" s="5">
        <v>11014</v>
      </c>
      <c r="B32" s="1" t="s">
        <v>2</v>
      </c>
      <c r="C32" s="5">
        <v>12</v>
      </c>
      <c r="D32" s="5">
        <v>15</v>
      </c>
      <c r="E32" s="5">
        <v>5</v>
      </c>
      <c r="F32" s="5">
        <v>34</v>
      </c>
      <c r="G32" s="3">
        <v>26.415094339622641</v>
      </c>
      <c r="H32" s="3">
        <v>20</v>
      </c>
      <c r="I32" s="3">
        <v>82.608695652173907</v>
      </c>
      <c r="J32" s="5">
        <v>35</v>
      </c>
      <c r="K32" s="5">
        <v>7</v>
      </c>
      <c r="L32" s="5">
        <v>8</v>
      </c>
      <c r="M32" s="5">
        <v>5</v>
      </c>
      <c r="N32" s="8">
        <v>22</v>
      </c>
      <c r="O32" s="5">
        <v>35</v>
      </c>
      <c r="P32" s="5">
        <v>6</v>
      </c>
      <c r="Q32" s="5">
        <v>4</v>
      </c>
      <c r="R32" s="3">
        <v>-176</v>
      </c>
      <c r="S32" s="7">
        <v>-181.4</v>
      </c>
      <c r="T32" s="5">
        <v>8</v>
      </c>
      <c r="U32" s="5">
        <v>17</v>
      </c>
      <c r="V32" s="5">
        <v>12</v>
      </c>
      <c r="W32" s="5">
        <v>18</v>
      </c>
      <c r="X32" s="5">
        <v>27</v>
      </c>
      <c r="Y32" s="5">
        <v>29</v>
      </c>
      <c r="Z32" s="5">
        <v>19</v>
      </c>
      <c r="AA32" s="5">
        <v>39</v>
      </c>
      <c r="AB32" s="5">
        <v>62</v>
      </c>
      <c r="AC32" s="5">
        <v>80</v>
      </c>
      <c r="AD32" s="5">
        <v>167</v>
      </c>
      <c r="AE32" s="5">
        <v>34</v>
      </c>
    </row>
    <row r="33" spans="1:31" s="5" customFormat="1" x14ac:dyDescent="0.2">
      <c r="A33" s="5">
        <v>12829</v>
      </c>
      <c r="B33" s="1" t="s">
        <v>2</v>
      </c>
      <c r="C33" s="5">
        <v>21</v>
      </c>
      <c r="D33" s="5">
        <v>21</v>
      </c>
      <c r="E33" s="5">
        <v>13</v>
      </c>
      <c r="F33" s="5">
        <v>35</v>
      </c>
      <c r="G33" s="3">
        <v>41.509433962264154</v>
      </c>
      <c r="H33" s="3">
        <v>43.333333333333336</v>
      </c>
      <c r="I33" s="3">
        <v>78.260869565217391</v>
      </c>
      <c r="J33" s="5">
        <v>34</v>
      </c>
      <c r="K33" s="5">
        <v>16</v>
      </c>
      <c r="L33" s="5">
        <v>14</v>
      </c>
      <c r="M33" s="5">
        <v>10</v>
      </c>
      <c r="N33" s="5">
        <v>28</v>
      </c>
      <c r="O33" s="5">
        <v>35</v>
      </c>
      <c r="P33" s="5">
        <v>6</v>
      </c>
      <c r="Q33" s="5">
        <v>3</v>
      </c>
      <c r="R33" s="3">
        <v>-89</v>
      </c>
      <c r="S33" s="3">
        <v>-275</v>
      </c>
      <c r="T33" s="5">
        <v>54</v>
      </c>
      <c r="U33" s="5">
        <v>7</v>
      </c>
      <c r="V33" s="5">
        <v>21</v>
      </c>
      <c r="W33" s="5">
        <v>22</v>
      </c>
      <c r="X33" s="5">
        <v>32</v>
      </c>
      <c r="Y33" s="5">
        <v>30</v>
      </c>
      <c r="Z33" s="5">
        <v>30</v>
      </c>
      <c r="AA33" s="5">
        <v>31</v>
      </c>
      <c r="AB33" s="5">
        <v>62</v>
      </c>
      <c r="AC33" s="5">
        <v>86</v>
      </c>
      <c r="AD33" s="5">
        <v>215</v>
      </c>
      <c r="AE33" s="5">
        <v>50</v>
      </c>
    </row>
    <row r="34" spans="1:31" s="5" customFormat="1" x14ac:dyDescent="0.2">
      <c r="A34" s="5">
        <v>12952</v>
      </c>
      <c r="B34" s="1" t="s">
        <v>2</v>
      </c>
      <c r="C34" s="5">
        <v>26</v>
      </c>
      <c r="D34" s="5">
        <v>40</v>
      </c>
      <c r="E34" s="5">
        <v>24</v>
      </c>
      <c r="F34" s="5">
        <v>36</v>
      </c>
      <c r="G34" s="3">
        <v>52</v>
      </c>
      <c r="H34" s="3">
        <v>48</v>
      </c>
      <c r="I34" s="3">
        <v>56.410256410256409</v>
      </c>
      <c r="J34" s="5">
        <v>43</v>
      </c>
      <c r="K34" s="5">
        <v>16</v>
      </c>
      <c r="L34" s="5">
        <v>15</v>
      </c>
      <c r="M34" s="5">
        <v>8</v>
      </c>
      <c r="N34" s="5">
        <v>15</v>
      </c>
      <c r="O34" s="5">
        <v>58</v>
      </c>
      <c r="P34" s="5">
        <v>5</v>
      </c>
      <c r="Q34" s="5">
        <v>4</v>
      </c>
      <c r="R34" s="3">
        <v>-62</v>
      </c>
      <c r="S34" s="3">
        <v>-105</v>
      </c>
      <c r="T34" s="5">
        <v>40</v>
      </c>
      <c r="U34" s="5">
        <v>17</v>
      </c>
      <c r="V34" s="5">
        <v>21</v>
      </c>
      <c r="W34" s="5">
        <v>22</v>
      </c>
      <c r="X34" s="5">
        <v>32</v>
      </c>
      <c r="Y34" s="5">
        <v>27</v>
      </c>
      <c r="Z34" s="5">
        <v>30</v>
      </c>
      <c r="AA34" s="5">
        <v>37</v>
      </c>
      <c r="AB34" s="5">
        <v>63</v>
      </c>
      <c r="AC34" s="5">
        <v>85</v>
      </c>
      <c r="AD34" s="5">
        <v>168</v>
      </c>
      <c r="AE34" s="5">
        <v>55</v>
      </c>
    </row>
    <row r="35" spans="1:31" s="5" customFormat="1" x14ac:dyDescent="0.2">
      <c r="A35" s="5">
        <v>13187</v>
      </c>
      <c r="B35" s="1" t="s">
        <v>2</v>
      </c>
      <c r="C35" s="5">
        <v>23</v>
      </c>
      <c r="D35" s="5">
        <v>27</v>
      </c>
      <c r="E35" s="5">
        <v>19</v>
      </c>
      <c r="F35" s="5">
        <v>35</v>
      </c>
      <c r="G35" s="3">
        <v>10</v>
      </c>
      <c r="H35" s="3">
        <v>0</v>
      </c>
      <c r="I35" s="3">
        <v>53.846153846153847</v>
      </c>
      <c r="J35" s="5">
        <v>35</v>
      </c>
      <c r="K35" s="5">
        <v>16</v>
      </c>
      <c r="L35" s="5">
        <v>15</v>
      </c>
      <c r="M35" s="5">
        <v>9</v>
      </c>
      <c r="N35" s="5">
        <v>28</v>
      </c>
      <c r="O35" s="5">
        <v>60</v>
      </c>
      <c r="P35" s="5">
        <v>4</v>
      </c>
      <c r="Q35" s="5">
        <v>3</v>
      </c>
      <c r="R35" s="3">
        <v>-37</v>
      </c>
      <c r="S35" s="3">
        <v>-151</v>
      </c>
      <c r="T35" s="5">
        <v>46</v>
      </c>
      <c r="U35" s="5">
        <v>23</v>
      </c>
      <c r="V35" s="5">
        <v>16</v>
      </c>
      <c r="W35" s="5">
        <v>22</v>
      </c>
      <c r="X35" s="8">
        <v>30.7</v>
      </c>
      <c r="Y35" s="8">
        <v>23.2</v>
      </c>
      <c r="Z35" s="5">
        <v>18</v>
      </c>
      <c r="AA35" s="5">
        <v>21</v>
      </c>
      <c r="AB35" s="5">
        <v>43</v>
      </c>
      <c r="AC35" s="5">
        <v>39</v>
      </c>
      <c r="AD35" s="5">
        <v>190</v>
      </c>
      <c r="AE35" s="5">
        <v>54</v>
      </c>
    </row>
    <row r="36" spans="1:31" s="5" customFormat="1" x14ac:dyDescent="0.2">
      <c r="A36" s="5">
        <v>13196</v>
      </c>
      <c r="B36" s="1" t="s">
        <v>2</v>
      </c>
      <c r="C36" s="5">
        <v>25</v>
      </c>
      <c r="D36" s="5">
        <v>24</v>
      </c>
      <c r="E36" s="5">
        <v>14</v>
      </c>
      <c r="F36" s="5">
        <v>36</v>
      </c>
      <c r="G36" s="3">
        <v>34</v>
      </c>
      <c r="H36" s="3">
        <v>30</v>
      </c>
      <c r="I36" s="3">
        <v>66.666666666666657</v>
      </c>
      <c r="J36" s="5">
        <v>40</v>
      </c>
      <c r="K36" s="5">
        <v>12</v>
      </c>
      <c r="L36" s="5">
        <v>11</v>
      </c>
      <c r="M36" s="5">
        <v>10</v>
      </c>
      <c r="N36" s="5">
        <v>28</v>
      </c>
      <c r="O36" s="5">
        <v>53</v>
      </c>
      <c r="P36" s="5">
        <v>4</v>
      </c>
      <c r="Q36" s="5">
        <v>4</v>
      </c>
      <c r="R36" s="3">
        <v>-76</v>
      </c>
      <c r="S36" s="3">
        <v>-149</v>
      </c>
      <c r="T36" s="5">
        <v>51</v>
      </c>
      <c r="U36" s="5">
        <v>14</v>
      </c>
      <c r="V36" s="5">
        <v>20</v>
      </c>
      <c r="W36" s="5">
        <v>22</v>
      </c>
      <c r="X36" s="5">
        <v>31</v>
      </c>
      <c r="Y36" s="5">
        <v>27</v>
      </c>
      <c r="Z36" s="5">
        <v>30</v>
      </c>
      <c r="AA36" s="5">
        <v>35</v>
      </c>
      <c r="AB36" s="5">
        <v>54</v>
      </c>
      <c r="AC36" s="8">
        <v>73.181818181818187</v>
      </c>
      <c r="AD36" s="5">
        <v>206</v>
      </c>
      <c r="AE36" s="5">
        <v>54</v>
      </c>
    </row>
    <row r="37" spans="1:31" s="5" customFormat="1" x14ac:dyDescent="0.2">
      <c r="A37" s="5">
        <v>13074</v>
      </c>
      <c r="B37" s="1" t="s">
        <v>2</v>
      </c>
      <c r="C37" s="5">
        <v>26</v>
      </c>
      <c r="D37" s="5">
        <v>32</v>
      </c>
      <c r="E37" s="5">
        <v>14</v>
      </c>
      <c r="F37" s="5">
        <v>36</v>
      </c>
      <c r="G37" s="3">
        <v>50</v>
      </c>
      <c r="H37" s="3">
        <v>48</v>
      </c>
      <c r="I37" s="3">
        <v>58.974358974358978</v>
      </c>
      <c r="J37" s="5">
        <v>41</v>
      </c>
      <c r="K37" s="5">
        <v>16</v>
      </c>
      <c r="L37" s="5">
        <v>14</v>
      </c>
      <c r="M37" s="5">
        <v>9</v>
      </c>
      <c r="N37" s="5">
        <v>20</v>
      </c>
      <c r="O37" s="5">
        <v>59</v>
      </c>
      <c r="P37" s="5">
        <v>7</v>
      </c>
      <c r="Q37" s="5">
        <v>4</v>
      </c>
      <c r="R37" s="3">
        <v>-48</v>
      </c>
      <c r="S37" s="3">
        <v>-75</v>
      </c>
      <c r="T37" s="5">
        <v>40</v>
      </c>
      <c r="U37" s="5">
        <v>28</v>
      </c>
      <c r="V37" s="5">
        <v>20</v>
      </c>
      <c r="W37" s="5">
        <v>22</v>
      </c>
      <c r="X37" s="5">
        <v>32</v>
      </c>
      <c r="Y37" s="5">
        <v>29</v>
      </c>
      <c r="Z37" s="5">
        <v>30</v>
      </c>
      <c r="AA37" s="5">
        <v>31</v>
      </c>
      <c r="AB37" s="5">
        <v>62</v>
      </c>
      <c r="AC37" s="5">
        <v>86</v>
      </c>
      <c r="AD37" s="5">
        <v>195</v>
      </c>
      <c r="AE37" s="5">
        <v>50</v>
      </c>
    </row>
    <row r="38" spans="1:31" s="5" customFormat="1" x14ac:dyDescent="0.2">
      <c r="A38" s="5">
        <v>13188</v>
      </c>
      <c r="B38" s="1" t="s">
        <v>2</v>
      </c>
      <c r="C38" s="5">
        <v>23</v>
      </c>
      <c r="D38" s="5">
        <v>25</v>
      </c>
      <c r="E38" s="5">
        <v>16</v>
      </c>
      <c r="F38" s="5">
        <v>35</v>
      </c>
      <c r="G38" s="3">
        <v>24.528301886792452</v>
      </c>
      <c r="H38" s="3">
        <v>43.333333333333336</v>
      </c>
      <c r="I38" s="3">
        <v>69.565217391304344</v>
      </c>
      <c r="J38" s="5">
        <v>24</v>
      </c>
      <c r="K38" s="5">
        <v>17</v>
      </c>
      <c r="L38" s="5">
        <v>19</v>
      </c>
      <c r="M38" s="5">
        <v>8</v>
      </c>
      <c r="N38" s="5">
        <v>26</v>
      </c>
      <c r="O38" s="5">
        <v>59</v>
      </c>
      <c r="P38" s="5">
        <v>5</v>
      </c>
      <c r="Q38" s="5">
        <v>3</v>
      </c>
      <c r="R38" s="3">
        <v>-57</v>
      </c>
      <c r="S38" s="3">
        <v>-135</v>
      </c>
      <c r="T38" s="5">
        <v>39</v>
      </c>
      <c r="U38" s="5">
        <v>6</v>
      </c>
      <c r="V38" s="5">
        <v>14</v>
      </c>
      <c r="W38" s="5">
        <v>22</v>
      </c>
      <c r="X38" s="5">
        <v>29</v>
      </c>
      <c r="Y38" s="5">
        <v>22</v>
      </c>
      <c r="Z38" s="5">
        <v>25</v>
      </c>
      <c r="AA38" s="5">
        <v>28</v>
      </c>
      <c r="AB38" s="5">
        <v>55</v>
      </c>
      <c r="AC38" s="5">
        <v>81</v>
      </c>
      <c r="AD38" s="5">
        <v>201</v>
      </c>
      <c r="AE38" s="5">
        <v>50</v>
      </c>
    </row>
    <row r="39" spans="1:31" s="5" customFormat="1" x14ac:dyDescent="0.2">
      <c r="A39" s="5">
        <v>13156</v>
      </c>
      <c r="B39" s="1" t="s">
        <v>2</v>
      </c>
      <c r="C39" s="5">
        <v>7</v>
      </c>
      <c r="D39" s="5">
        <v>17</v>
      </c>
      <c r="E39" s="5">
        <v>4</v>
      </c>
      <c r="F39" s="5">
        <v>30</v>
      </c>
      <c r="G39" s="3">
        <v>22.641509433962266</v>
      </c>
      <c r="H39" s="3">
        <v>23.333333333333332</v>
      </c>
      <c r="I39" s="3">
        <v>52.173913043478258</v>
      </c>
      <c r="J39" s="8">
        <v>36.272727272727273</v>
      </c>
      <c r="K39" s="5">
        <v>5</v>
      </c>
      <c r="L39" s="5">
        <v>5</v>
      </c>
      <c r="M39" s="5">
        <v>3</v>
      </c>
      <c r="N39" s="8">
        <v>22</v>
      </c>
      <c r="O39" s="5">
        <v>33</v>
      </c>
      <c r="P39" s="5">
        <v>3</v>
      </c>
      <c r="Q39" s="5">
        <v>2</v>
      </c>
      <c r="R39" s="3">
        <v>-414</v>
      </c>
      <c r="S39" s="7">
        <v>-181.4</v>
      </c>
      <c r="T39" s="5">
        <v>31</v>
      </c>
      <c r="U39" s="5">
        <v>10</v>
      </c>
      <c r="V39" s="5">
        <v>17</v>
      </c>
      <c r="W39" s="5">
        <v>20</v>
      </c>
      <c r="X39" s="8">
        <v>30.7</v>
      </c>
      <c r="Y39" s="5">
        <v>10</v>
      </c>
      <c r="Z39" s="5">
        <v>21</v>
      </c>
      <c r="AA39" s="8">
        <v>30.416666666666668</v>
      </c>
      <c r="AB39" s="5">
        <v>53</v>
      </c>
      <c r="AC39" s="5">
        <v>58</v>
      </c>
      <c r="AD39" s="5">
        <v>189</v>
      </c>
      <c r="AE39" s="5">
        <v>38</v>
      </c>
    </row>
    <row r="40" spans="1:31" s="2" customFormat="1" x14ac:dyDescent="0.2">
      <c r="A40" s="5">
        <v>2103</v>
      </c>
      <c r="B40" s="1" t="s">
        <v>3</v>
      </c>
      <c r="C40" s="5">
        <v>14</v>
      </c>
      <c r="D40" s="5">
        <v>16</v>
      </c>
      <c r="E40" s="5">
        <v>8</v>
      </c>
      <c r="F40" s="5">
        <v>32</v>
      </c>
      <c r="G40" s="3">
        <v>32.075471698113205</v>
      </c>
      <c r="H40" s="3">
        <v>3.3333333333333335</v>
      </c>
      <c r="I40" s="3">
        <v>56.521739130434781</v>
      </c>
      <c r="J40" s="5">
        <v>26</v>
      </c>
      <c r="K40" s="5">
        <v>1</v>
      </c>
      <c r="L40" s="5">
        <v>1</v>
      </c>
      <c r="M40" s="5">
        <v>1</v>
      </c>
      <c r="N40" s="8">
        <v>20.625</v>
      </c>
      <c r="O40" s="5">
        <v>54</v>
      </c>
      <c r="P40" s="5">
        <v>6</v>
      </c>
      <c r="Q40" s="5">
        <v>6</v>
      </c>
      <c r="R40" s="3">
        <v>-127</v>
      </c>
      <c r="S40" s="3">
        <v>-317</v>
      </c>
      <c r="T40" s="5">
        <v>46</v>
      </c>
      <c r="U40" s="5">
        <v>29</v>
      </c>
      <c r="V40" s="5">
        <v>19</v>
      </c>
      <c r="W40" s="5">
        <v>22</v>
      </c>
      <c r="X40" s="5">
        <v>31</v>
      </c>
      <c r="Y40" s="5">
        <v>28</v>
      </c>
      <c r="Z40" s="5">
        <v>29</v>
      </c>
      <c r="AA40" s="5">
        <v>27</v>
      </c>
      <c r="AB40" s="5">
        <v>62</v>
      </c>
      <c r="AC40" s="5">
        <v>88</v>
      </c>
      <c r="AD40" s="5">
        <v>198</v>
      </c>
      <c r="AE40" s="5">
        <v>50</v>
      </c>
    </row>
    <row r="41" spans="1:31" s="2" customFormat="1" x14ac:dyDescent="0.2">
      <c r="A41" s="5">
        <v>7352</v>
      </c>
      <c r="B41" s="1" t="s">
        <v>3</v>
      </c>
      <c r="C41" s="5">
        <v>26</v>
      </c>
      <c r="D41" s="5">
        <v>32</v>
      </c>
      <c r="E41" s="5">
        <v>19</v>
      </c>
      <c r="F41" s="5">
        <v>33</v>
      </c>
      <c r="G41" s="3">
        <v>67.924528301886795</v>
      </c>
      <c r="H41" s="3">
        <v>50</v>
      </c>
      <c r="I41" s="3">
        <v>82.608695652173907</v>
      </c>
      <c r="J41" s="5">
        <v>39</v>
      </c>
      <c r="K41" s="5">
        <v>17</v>
      </c>
      <c r="L41" s="5">
        <v>16</v>
      </c>
      <c r="M41" s="5">
        <v>7</v>
      </c>
      <c r="N41" s="5">
        <v>30</v>
      </c>
      <c r="O41" s="5">
        <v>60</v>
      </c>
      <c r="P41" s="5">
        <v>8</v>
      </c>
      <c r="Q41" s="5">
        <v>6</v>
      </c>
      <c r="R41" s="3">
        <v>-36</v>
      </c>
      <c r="S41" s="3">
        <v>-73</v>
      </c>
      <c r="T41" s="5">
        <v>55</v>
      </c>
      <c r="U41" s="5">
        <v>43</v>
      </c>
      <c r="V41" s="5">
        <v>21</v>
      </c>
      <c r="W41" s="5">
        <v>22</v>
      </c>
      <c r="X41" s="5">
        <v>31</v>
      </c>
      <c r="Y41" s="5">
        <v>30</v>
      </c>
      <c r="Z41" s="5">
        <v>30</v>
      </c>
      <c r="AA41" s="5">
        <v>36</v>
      </c>
      <c r="AB41" s="5">
        <v>65</v>
      </c>
      <c r="AC41" s="5">
        <v>88</v>
      </c>
      <c r="AD41" s="5">
        <v>220</v>
      </c>
      <c r="AE41" s="5">
        <v>59</v>
      </c>
    </row>
    <row r="42" spans="1:31" s="2" customFormat="1" x14ac:dyDescent="0.2">
      <c r="A42" s="5">
        <v>8961</v>
      </c>
      <c r="B42" s="1" t="s">
        <v>3</v>
      </c>
      <c r="C42" s="5">
        <v>25</v>
      </c>
      <c r="D42" s="5">
        <v>26</v>
      </c>
      <c r="E42" s="5">
        <v>15</v>
      </c>
      <c r="F42" s="5">
        <v>31</v>
      </c>
      <c r="G42" s="3">
        <v>54.716981132075468</v>
      </c>
      <c r="H42" s="3">
        <v>46.666666666666664</v>
      </c>
      <c r="I42" s="3">
        <v>65.217391304347828</v>
      </c>
      <c r="J42" s="5">
        <v>33</v>
      </c>
      <c r="K42" s="5">
        <v>4</v>
      </c>
      <c r="L42" s="5">
        <v>3</v>
      </c>
      <c r="M42" s="5">
        <v>6</v>
      </c>
      <c r="N42" s="5">
        <v>17</v>
      </c>
      <c r="O42" s="5">
        <v>48</v>
      </c>
      <c r="P42" s="5">
        <v>7</v>
      </c>
      <c r="Q42" s="5">
        <v>3</v>
      </c>
      <c r="R42" s="3">
        <v>-89</v>
      </c>
      <c r="S42" s="3">
        <v>-343</v>
      </c>
      <c r="T42" s="5">
        <v>45</v>
      </c>
      <c r="U42" s="5">
        <v>35</v>
      </c>
      <c r="V42" s="5">
        <v>18</v>
      </c>
      <c r="W42" s="5">
        <v>21</v>
      </c>
      <c r="X42" s="5">
        <v>32</v>
      </c>
      <c r="Y42" s="5">
        <v>18</v>
      </c>
      <c r="Z42" s="5">
        <v>30</v>
      </c>
      <c r="AA42" s="5">
        <v>24</v>
      </c>
      <c r="AB42" s="5">
        <v>62</v>
      </c>
      <c r="AC42" s="5">
        <v>71</v>
      </c>
      <c r="AD42" s="5">
        <v>192</v>
      </c>
      <c r="AE42" s="5">
        <v>44</v>
      </c>
    </row>
    <row r="43" spans="1:31" s="2" customFormat="1" x14ac:dyDescent="0.2">
      <c r="A43" s="5">
        <v>11264</v>
      </c>
      <c r="B43" s="1" t="s">
        <v>3</v>
      </c>
      <c r="C43" s="5">
        <v>21</v>
      </c>
      <c r="D43" s="5">
        <v>23</v>
      </c>
      <c r="E43" s="5">
        <v>12</v>
      </c>
      <c r="F43" s="5">
        <v>32</v>
      </c>
      <c r="G43" s="3">
        <v>49.056603773584904</v>
      </c>
      <c r="H43" s="3">
        <v>13.333333333333334</v>
      </c>
      <c r="I43" s="3">
        <v>65.217391304347828</v>
      </c>
      <c r="J43" s="5">
        <v>31</v>
      </c>
      <c r="K43" s="5">
        <v>13</v>
      </c>
      <c r="L43" s="5">
        <v>14</v>
      </c>
      <c r="M43" s="5">
        <v>7</v>
      </c>
      <c r="N43" s="5">
        <v>17</v>
      </c>
      <c r="O43" s="5">
        <v>50</v>
      </c>
      <c r="P43" s="5">
        <v>5</v>
      </c>
      <c r="Q43" s="5">
        <v>3</v>
      </c>
      <c r="R43" s="3">
        <v>-61</v>
      </c>
      <c r="S43" s="3">
        <v>-316</v>
      </c>
      <c r="T43" s="5">
        <v>54</v>
      </c>
      <c r="U43" s="5">
        <v>38</v>
      </c>
      <c r="V43" s="5">
        <v>19</v>
      </c>
      <c r="W43" s="5">
        <v>22</v>
      </c>
      <c r="X43" s="5">
        <v>30</v>
      </c>
      <c r="Y43" s="5">
        <v>29</v>
      </c>
      <c r="Z43" s="5">
        <v>29</v>
      </c>
      <c r="AA43" s="5">
        <v>35</v>
      </c>
      <c r="AB43" s="5">
        <v>46</v>
      </c>
      <c r="AC43" s="5">
        <v>78</v>
      </c>
      <c r="AD43" s="5">
        <v>205</v>
      </c>
      <c r="AE43" s="5">
        <v>54</v>
      </c>
    </row>
    <row r="44" spans="1:31" s="2" customFormat="1" x14ac:dyDescent="0.2">
      <c r="A44" s="5">
        <v>11634</v>
      </c>
      <c r="B44" s="1" t="s">
        <v>3</v>
      </c>
      <c r="C44" s="5">
        <v>23</v>
      </c>
      <c r="D44" s="5">
        <v>23</v>
      </c>
      <c r="E44" s="5">
        <v>2</v>
      </c>
      <c r="F44" s="5">
        <v>30</v>
      </c>
      <c r="G44" s="8">
        <v>44.750524109014663</v>
      </c>
      <c r="H44" s="8">
        <v>20.416666666666664</v>
      </c>
      <c r="I44" s="8">
        <v>57.946240554936203</v>
      </c>
      <c r="J44" s="5">
        <v>35</v>
      </c>
      <c r="K44" s="5">
        <v>7</v>
      </c>
      <c r="L44" s="5">
        <v>0</v>
      </c>
      <c r="M44" s="5">
        <v>0</v>
      </c>
      <c r="N44" s="5">
        <v>26</v>
      </c>
      <c r="O44" s="5">
        <v>57</v>
      </c>
      <c r="P44" s="5">
        <v>6</v>
      </c>
      <c r="Q44" s="5">
        <v>4</v>
      </c>
      <c r="R44" s="3">
        <v>-58</v>
      </c>
      <c r="S44" s="3">
        <v>-123</v>
      </c>
      <c r="T44" s="5">
        <v>43</v>
      </c>
      <c r="U44" s="5">
        <v>28</v>
      </c>
      <c r="V44" s="5">
        <v>22</v>
      </c>
      <c r="W44" s="5">
        <v>22</v>
      </c>
      <c r="X44" s="5">
        <v>32</v>
      </c>
      <c r="Y44" s="5">
        <v>30</v>
      </c>
      <c r="Z44" s="5">
        <v>30</v>
      </c>
      <c r="AA44" s="5">
        <v>37</v>
      </c>
      <c r="AB44" s="5">
        <v>62</v>
      </c>
      <c r="AC44" s="5">
        <v>87</v>
      </c>
      <c r="AD44" s="5">
        <v>208</v>
      </c>
      <c r="AE44" s="5">
        <v>56</v>
      </c>
    </row>
    <row r="45" spans="1:31" s="2" customFormat="1" x14ac:dyDescent="0.2">
      <c r="A45" s="5">
        <v>12257</v>
      </c>
      <c r="B45" s="1" t="s">
        <v>3</v>
      </c>
      <c r="C45" s="5">
        <v>18</v>
      </c>
      <c r="D45" s="5">
        <v>15</v>
      </c>
      <c r="E45" s="5">
        <v>1</v>
      </c>
      <c r="F45" s="5">
        <v>19</v>
      </c>
      <c r="G45" s="3">
        <v>33.962264150943398</v>
      </c>
      <c r="H45" s="8">
        <v>20.416666666666668</v>
      </c>
      <c r="I45" s="3">
        <v>39.130434782608695</v>
      </c>
      <c r="J45" s="5">
        <v>36</v>
      </c>
      <c r="K45" s="5">
        <v>1</v>
      </c>
      <c r="L45" s="8">
        <v>6.4444444444444446</v>
      </c>
      <c r="M45" s="5">
        <v>1</v>
      </c>
      <c r="N45" s="5">
        <v>18</v>
      </c>
      <c r="O45" s="5">
        <v>59</v>
      </c>
      <c r="P45" s="5">
        <v>5</v>
      </c>
      <c r="Q45" s="5">
        <v>5</v>
      </c>
      <c r="R45" s="3">
        <v>-76</v>
      </c>
      <c r="S45" s="3">
        <v>-114</v>
      </c>
      <c r="T45" s="5">
        <v>50</v>
      </c>
      <c r="U45" s="5">
        <v>22</v>
      </c>
      <c r="V45" s="5">
        <v>22</v>
      </c>
      <c r="W45" s="5">
        <v>22</v>
      </c>
      <c r="X45" s="5">
        <v>29</v>
      </c>
      <c r="Y45" s="5">
        <v>30</v>
      </c>
      <c r="Z45" s="5">
        <v>30</v>
      </c>
      <c r="AA45" s="5">
        <v>34</v>
      </c>
      <c r="AB45" s="5">
        <v>65</v>
      </c>
      <c r="AC45" s="5">
        <v>86</v>
      </c>
      <c r="AD45" s="5">
        <v>206</v>
      </c>
      <c r="AE45" s="5">
        <v>52</v>
      </c>
    </row>
    <row r="46" spans="1:31" s="2" customFormat="1" x14ac:dyDescent="0.2">
      <c r="A46" s="5">
        <v>12813</v>
      </c>
      <c r="B46" s="1" t="s">
        <v>3</v>
      </c>
      <c r="C46" s="5">
        <v>24</v>
      </c>
      <c r="D46" s="5">
        <v>19</v>
      </c>
      <c r="E46" s="5">
        <v>14</v>
      </c>
      <c r="F46" s="5">
        <v>34</v>
      </c>
      <c r="G46" s="3">
        <v>44</v>
      </c>
      <c r="H46" s="3">
        <v>42</v>
      </c>
      <c r="I46" s="3">
        <v>69.230769230769226</v>
      </c>
      <c r="J46" s="5">
        <v>40</v>
      </c>
      <c r="K46" s="5">
        <v>49</v>
      </c>
      <c r="L46" s="5">
        <v>19</v>
      </c>
      <c r="M46" s="5">
        <v>9</v>
      </c>
      <c r="N46" s="5">
        <v>22</v>
      </c>
      <c r="O46" s="5">
        <v>60</v>
      </c>
      <c r="P46" s="5">
        <v>8</v>
      </c>
      <c r="Q46" s="5">
        <v>4</v>
      </c>
      <c r="R46" s="3">
        <v>-52</v>
      </c>
      <c r="S46" s="3">
        <v>-84</v>
      </c>
      <c r="T46" s="5">
        <v>54</v>
      </c>
      <c r="U46" s="5">
        <v>41</v>
      </c>
      <c r="V46" s="5">
        <v>22</v>
      </c>
      <c r="W46" s="5">
        <v>22</v>
      </c>
      <c r="X46" s="5">
        <v>32</v>
      </c>
      <c r="Y46" s="5">
        <v>30</v>
      </c>
      <c r="Z46" s="5">
        <v>30</v>
      </c>
      <c r="AA46" s="5">
        <v>34</v>
      </c>
      <c r="AB46" s="5">
        <v>61</v>
      </c>
      <c r="AC46" s="5">
        <v>88</v>
      </c>
      <c r="AD46" s="5">
        <v>213</v>
      </c>
      <c r="AE46" s="5">
        <v>54</v>
      </c>
    </row>
    <row r="47" spans="1:31" s="2" customFormat="1" x14ac:dyDescent="0.2">
      <c r="A47" s="5">
        <v>11633</v>
      </c>
      <c r="B47" s="1" t="s">
        <v>3</v>
      </c>
      <c r="C47" s="5">
        <v>24</v>
      </c>
      <c r="D47" s="5">
        <v>23</v>
      </c>
      <c r="E47" s="5">
        <v>1</v>
      </c>
      <c r="F47" s="5">
        <v>18</v>
      </c>
      <c r="G47" s="3">
        <v>56.60377358490566</v>
      </c>
      <c r="H47" s="3">
        <v>0</v>
      </c>
      <c r="I47" s="3">
        <v>56.521739130434781</v>
      </c>
      <c r="J47" s="5">
        <v>34</v>
      </c>
      <c r="K47" s="5">
        <v>1</v>
      </c>
      <c r="L47" s="5">
        <v>0</v>
      </c>
      <c r="M47" s="5">
        <v>2</v>
      </c>
      <c r="N47" s="8">
        <v>20.625</v>
      </c>
      <c r="O47" s="5">
        <v>57</v>
      </c>
      <c r="P47" s="5">
        <v>8</v>
      </c>
      <c r="Q47" s="5">
        <v>5</v>
      </c>
      <c r="R47" s="3">
        <v>-82</v>
      </c>
      <c r="S47" s="3">
        <v>-128</v>
      </c>
      <c r="T47" s="5">
        <v>47</v>
      </c>
      <c r="U47" s="5">
        <v>37</v>
      </c>
      <c r="V47" s="5">
        <v>22</v>
      </c>
      <c r="W47" s="5">
        <v>21</v>
      </c>
      <c r="X47" s="5">
        <v>28</v>
      </c>
      <c r="Y47" s="5">
        <v>30</v>
      </c>
      <c r="Z47" s="5">
        <v>30</v>
      </c>
      <c r="AA47" s="5">
        <v>18</v>
      </c>
      <c r="AB47" s="5">
        <v>64</v>
      </c>
      <c r="AC47" s="5">
        <v>88</v>
      </c>
      <c r="AD47" s="5">
        <v>209</v>
      </c>
      <c r="AE47" s="5">
        <v>51</v>
      </c>
    </row>
    <row r="48" spans="1:31" s="2" customFormat="1" x14ac:dyDescent="0.2">
      <c r="A48" s="5">
        <v>13442</v>
      </c>
      <c r="B48" s="1" t="s">
        <v>3</v>
      </c>
      <c r="C48" s="5">
        <v>24</v>
      </c>
      <c r="D48" s="5">
        <v>25</v>
      </c>
      <c r="E48" s="5">
        <v>10</v>
      </c>
      <c r="F48" s="5">
        <v>4</v>
      </c>
      <c r="G48" s="3">
        <v>38</v>
      </c>
      <c r="H48" s="3">
        <v>8</v>
      </c>
      <c r="I48" s="3">
        <v>43.589743589743591</v>
      </c>
      <c r="J48" s="5">
        <v>39</v>
      </c>
      <c r="K48" s="5">
        <v>1</v>
      </c>
      <c r="L48" s="5">
        <v>5</v>
      </c>
      <c r="M48" s="5">
        <v>5</v>
      </c>
      <c r="N48" s="5">
        <v>15</v>
      </c>
      <c r="O48" s="5">
        <v>60</v>
      </c>
      <c r="P48" s="5">
        <v>8</v>
      </c>
      <c r="Q48" s="5">
        <v>4</v>
      </c>
      <c r="R48" s="3">
        <v>-51</v>
      </c>
      <c r="S48" s="3">
        <v>-165</v>
      </c>
      <c r="T48" s="5">
        <v>52</v>
      </c>
      <c r="U48" s="5">
        <v>27</v>
      </c>
      <c r="V48" s="5">
        <v>22</v>
      </c>
      <c r="W48" s="5">
        <v>22</v>
      </c>
      <c r="X48" s="5">
        <v>29</v>
      </c>
      <c r="Y48" s="5">
        <v>30</v>
      </c>
      <c r="Z48" s="5">
        <v>30</v>
      </c>
      <c r="AA48" s="5">
        <v>37</v>
      </c>
      <c r="AB48" s="5">
        <v>65</v>
      </c>
      <c r="AC48" s="5">
        <v>88</v>
      </c>
      <c r="AD48" s="5">
        <v>213</v>
      </c>
      <c r="AE48" s="5">
        <v>55</v>
      </c>
    </row>
    <row r="49" spans="1:31" s="2" customFormat="1" x14ac:dyDescent="0.2">
      <c r="A49" s="5">
        <v>13773</v>
      </c>
      <c r="B49" s="1" t="s">
        <v>3</v>
      </c>
      <c r="C49" s="5">
        <v>20</v>
      </c>
      <c r="D49" s="5">
        <v>19</v>
      </c>
      <c r="E49" s="5">
        <v>0</v>
      </c>
      <c r="F49" s="5">
        <v>20</v>
      </c>
      <c r="G49" s="3">
        <v>26.415094339622641</v>
      </c>
      <c r="H49" s="3">
        <v>0</v>
      </c>
      <c r="I49" s="3">
        <v>43.478260869565219</v>
      </c>
      <c r="J49" s="5">
        <v>38</v>
      </c>
      <c r="K49" s="5">
        <v>2</v>
      </c>
      <c r="L49" s="5">
        <v>0</v>
      </c>
      <c r="M49" s="5">
        <v>2</v>
      </c>
      <c r="N49" s="5">
        <v>20</v>
      </c>
      <c r="O49" s="5">
        <v>58</v>
      </c>
      <c r="P49" s="5">
        <v>7</v>
      </c>
      <c r="Q49" s="5">
        <v>4</v>
      </c>
      <c r="R49" s="3">
        <v>-39</v>
      </c>
      <c r="S49" s="3">
        <v>-133</v>
      </c>
      <c r="T49" s="5">
        <v>51</v>
      </c>
      <c r="U49" s="5">
        <v>52</v>
      </c>
      <c r="V49" s="5">
        <v>22</v>
      </c>
      <c r="W49" s="5">
        <v>22</v>
      </c>
      <c r="X49" s="5">
        <v>28</v>
      </c>
      <c r="Y49" s="5">
        <v>28</v>
      </c>
      <c r="Z49" s="5">
        <v>29</v>
      </c>
      <c r="AA49" s="5">
        <v>39</v>
      </c>
      <c r="AB49" s="5">
        <v>43</v>
      </c>
      <c r="AC49" s="5">
        <v>88</v>
      </c>
      <c r="AD49" s="5">
        <v>218</v>
      </c>
      <c r="AE49" s="5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8"/>
  <sheetViews>
    <sheetView tabSelected="1" workbookViewId="0">
      <selection activeCell="AE49" sqref="C49:AE49"/>
    </sheetView>
  </sheetViews>
  <sheetFormatPr baseColWidth="10" defaultColWidth="9.1640625" defaultRowHeight="15" x14ac:dyDescent="0.2"/>
  <cols>
    <col min="1" max="16384" width="9.1640625" style="4"/>
  </cols>
  <sheetData>
    <row r="1" spans="1:31" x14ac:dyDescent="0.2">
      <c r="A1" s="1" t="s">
        <v>4</v>
      </c>
      <c r="B1" s="1" t="s">
        <v>5</v>
      </c>
      <c r="C1" s="1" t="s">
        <v>6</v>
      </c>
      <c r="D1" s="1" t="s">
        <v>9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 x14ac:dyDescent="0.2">
      <c r="A2" s="1">
        <v>1144</v>
      </c>
      <c r="B2" s="1" t="s">
        <v>35</v>
      </c>
      <c r="C2" s="1">
        <v>26</v>
      </c>
      <c r="D2" s="1">
        <v>35</v>
      </c>
      <c r="E2" s="1">
        <v>24</v>
      </c>
      <c r="F2" s="1">
        <v>36</v>
      </c>
      <c r="G2" s="1">
        <v>57.999999999999993</v>
      </c>
      <c r="H2" s="1">
        <v>48</v>
      </c>
      <c r="I2" s="1">
        <v>64.102564102564102</v>
      </c>
      <c r="J2" s="1">
        <v>48</v>
      </c>
      <c r="K2" s="1">
        <v>20</v>
      </c>
      <c r="L2" s="1">
        <v>20</v>
      </c>
      <c r="M2" s="1">
        <v>10</v>
      </c>
      <c r="N2" s="1">
        <v>28</v>
      </c>
      <c r="O2" s="1">
        <v>60</v>
      </c>
      <c r="P2" s="1">
        <v>7</v>
      </c>
      <c r="Q2" s="1">
        <v>4</v>
      </c>
      <c r="R2" s="1">
        <v>-41</v>
      </c>
      <c r="S2" s="1">
        <v>-112</v>
      </c>
      <c r="T2" s="1">
        <v>49</v>
      </c>
      <c r="U2" s="1">
        <v>26</v>
      </c>
      <c r="V2" s="1">
        <v>22</v>
      </c>
      <c r="W2" s="1">
        <v>22</v>
      </c>
      <c r="X2" s="1">
        <v>32</v>
      </c>
      <c r="Y2" s="1">
        <v>30</v>
      </c>
      <c r="Z2" s="1">
        <v>30</v>
      </c>
      <c r="AA2" s="1">
        <v>40</v>
      </c>
      <c r="AB2" s="1">
        <v>65</v>
      </c>
      <c r="AC2" s="1">
        <v>88</v>
      </c>
      <c r="AD2" s="1">
        <v>201</v>
      </c>
      <c r="AE2" s="1">
        <v>53</v>
      </c>
    </row>
    <row r="3" spans="1:31" x14ac:dyDescent="0.2">
      <c r="A3" s="1">
        <v>2571</v>
      </c>
      <c r="B3" s="1" t="s">
        <v>35</v>
      </c>
      <c r="C3" s="1">
        <v>27</v>
      </c>
      <c r="D3" s="1">
        <v>32</v>
      </c>
      <c r="E3" s="1">
        <v>15</v>
      </c>
      <c r="F3" s="1">
        <v>36</v>
      </c>
      <c r="G3" s="1">
        <v>75.471698113207552</v>
      </c>
      <c r="H3" s="1">
        <v>70</v>
      </c>
      <c r="I3" s="1">
        <v>86.956521739130437</v>
      </c>
      <c r="J3" s="1">
        <v>32</v>
      </c>
      <c r="K3" s="1">
        <v>19</v>
      </c>
      <c r="L3" s="1">
        <v>17</v>
      </c>
      <c r="M3" s="1">
        <v>10</v>
      </c>
      <c r="N3" s="1">
        <v>29</v>
      </c>
      <c r="O3" s="1">
        <v>58</v>
      </c>
      <c r="P3" s="1">
        <v>9</v>
      </c>
      <c r="Q3" s="1">
        <v>7</v>
      </c>
      <c r="R3" s="1">
        <v>-34</v>
      </c>
      <c r="S3" s="1">
        <v>-42</v>
      </c>
      <c r="T3" s="1">
        <v>60</v>
      </c>
      <c r="U3" s="1">
        <v>57</v>
      </c>
      <c r="V3" s="1">
        <v>21</v>
      </c>
      <c r="W3" s="1">
        <v>22</v>
      </c>
      <c r="X3" s="1">
        <v>30</v>
      </c>
      <c r="Y3" s="1">
        <v>30</v>
      </c>
      <c r="Z3" s="1">
        <v>30</v>
      </c>
      <c r="AA3" s="1">
        <v>38</v>
      </c>
      <c r="AB3" s="1">
        <v>64</v>
      </c>
      <c r="AC3" s="1">
        <v>88</v>
      </c>
      <c r="AD3" s="1">
        <v>218</v>
      </c>
      <c r="AE3" s="1">
        <v>61</v>
      </c>
    </row>
    <row r="4" spans="1:31" x14ac:dyDescent="0.2">
      <c r="A4" s="1">
        <v>5015</v>
      </c>
      <c r="B4" s="1" t="s">
        <v>35</v>
      </c>
      <c r="C4" s="1">
        <v>23</v>
      </c>
      <c r="D4" s="1">
        <v>12</v>
      </c>
      <c r="E4" s="1">
        <v>16</v>
      </c>
      <c r="F4" s="1">
        <v>35</v>
      </c>
      <c r="G4" s="1">
        <v>26.415094339622641</v>
      </c>
      <c r="H4" s="1">
        <v>30</v>
      </c>
      <c r="I4" s="1">
        <v>69.565217391304344</v>
      </c>
      <c r="J4" s="1">
        <v>44</v>
      </c>
      <c r="K4" s="1">
        <v>18</v>
      </c>
      <c r="L4" s="1">
        <v>18</v>
      </c>
      <c r="M4" s="1">
        <v>8</v>
      </c>
      <c r="N4" s="1">
        <v>30</v>
      </c>
      <c r="O4" s="1">
        <v>58</v>
      </c>
      <c r="P4" s="1">
        <v>6</v>
      </c>
      <c r="Q4" s="1">
        <v>5</v>
      </c>
      <c r="R4" s="1">
        <v>-91</v>
      </c>
      <c r="S4" s="1">
        <v>-231</v>
      </c>
      <c r="T4" s="1">
        <v>58</v>
      </c>
      <c r="U4" s="1">
        <v>23</v>
      </c>
      <c r="V4" s="1">
        <v>18</v>
      </c>
      <c r="W4" s="1">
        <v>22</v>
      </c>
      <c r="X4" s="1">
        <v>31</v>
      </c>
      <c r="Y4" s="1">
        <v>30</v>
      </c>
      <c r="Z4" s="1">
        <v>30</v>
      </c>
      <c r="AA4" s="1">
        <v>38</v>
      </c>
      <c r="AB4" s="1">
        <v>65</v>
      </c>
      <c r="AC4" s="1">
        <v>88</v>
      </c>
      <c r="AD4" s="1">
        <v>220</v>
      </c>
      <c r="AE4" s="1">
        <v>55</v>
      </c>
    </row>
    <row r="5" spans="1:31" x14ac:dyDescent="0.2">
      <c r="A5" s="1">
        <v>5228</v>
      </c>
      <c r="B5" s="1" t="s">
        <v>35</v>
      </c>
      <c r="C5" s="1">
        <v>25</v>
      </c>
      <c r="D5" s="1">
        <v>22</v>
      </c>
      <c r="E5" s="1">
        <v>16</v>
      </c>
      <c r="F5" s="1">
        <v>35</v>
      </c>
      <c r="G5" s="1">
        <v>69.811320754716974</v>
      </c>
      <c r="H5" s="1">
        <v>76.666666666666671</v>
      </c>
      <c r="I5" s="1">
        <v>86.956521739130437</v>
      </c>
      <c r="J5" s="1">
        <v>40</v>
      </c>
      <c r="K5" s="1">
        <v>13</v>
      </c>
      <c r="L5" s="1">
        <v>13</v>
      </c>
      <c r="M5" s="1">
        <v>5</v>
      </c>
      <c r="N5" s="1">
        <v>30</v>
      </c>
      <c r="O5" s="1">
        <v>60</v>
      </c>
      <c r="P5" s="1">
        <v>5</v>
      </c>
      <c r="Q5" s="1">
        <v>5</v>
      </c>
      <c r="R5" s="1">
        <v>-38</v>
      </c>
      <c r="S5" s="1">
        <v>-120</v>
      </c>
      <c r="T5" s="1">
        <v>60</v>
      </c>
      <c r="U5" s="1">
        <v>35</v>
      </c>
      <c r="V5" s="1">
        <v>21</v>
      </c>
      <c r="W5" s="1">
        <v>22</v>
      </c>
      <c r="X5" s="1">
        <v>31</v>
      </c>
      <c r="Y5" s="1">
        <v>30</v>
      </c>
      <c r="Z5" s="1">
        <v>30</v>
      </c>
      <c r="AA5" s="1">
        <v>38</v>
      </c>
      <c r="AB5" s="1">
        <v>62</v>
      </c>
      <c r="AC5" s="1">
        <v>88</v>
      </c>
      <c r="AD5" s="1">
        <v>222</v>
      </c>
      <c r="AE5" s="1">
        <v>55</v>
      </c>
    </row>
    <row r="6" spans="1:31" x14ac:dyDescent="0.2">
      <c r="A6" s="1">
        <v>6819</v>
      </c>
      <c r="B6" s="1" t="s">
        <v>35</v>
      </c>
      <c r="C6" s="1">
        <v>30</v>
      </c>
      <c r="D6" s="1">
        <v>31</v>
      </c>
      <c r="E6" s="1">
        <v>13</v>
      </c>
      <c r="F6" s="1">
        <v>35</v>
      </c>
      <c r="G6" s="1">
        <v>49.056603773584904</v>
      </c>
      <c r="H6" s="1">
        <v>23.333333333333332</v>
      </c>
      <c r="I6" s="1">
        <v>73.91304347826086</v>
      </c>
      <c r="J6" s="1">
        <v>33</v>
      </c>
      <c r="K6" s="1">
        <v>17</v>
      </c>
      <c r="L6" s="1">
        <v>17</v>
      </c>
      <c r="M6" s="1">
        <v>9</v>
      </c>
      <c r="N6" s="1">
        <v>23</v>
      </c>
      <c r="O6" s="1">
        <v>59</v>
      </c>
      <c r="P6" s="1">
        <v>7</v>
      </c>
      <c r="Q6" s="1">
        <v>5</v>
      </c>
      <c r="R6" s="1">
        <v>-42</v>
      </c>
      <c r="S6" s="1">
        <v>-77</v>
      </c>
      <c r="T6" s="1">
        <v>58</v>
      </c>
      <c r="U6" s="1">
        <v>61</v>
      </c>
      <c r="V6" s="1">
        <v>22</v>
      </c>
      <c r="W6" s="1">
        <v>22</v>
      </c>
      <c r="X6" s="1">
        <v>32</v>
      </c>
      <c r="Y6" s="1">
        <v>30</v>
      </c>
      <c r="Z6" s="1">
        <v>28</v>
      </c>
      <c r="AA6" s="1">
        <v>36</v>
      </c>
      <c r="AB6" s="1">
        <v>61</v>
      </c>
      <c r="AC6" s="1">
        <v>88</v>
      </c>
      <c r="AD6" s="1">
        <v>215</v>
      </c>
      <c r="AE6" s="1">
        <v>56</v>
      </c>
    </row>
    <row r="7" spans="1:31" x14ac:dyDescent="0.2">
      <c r="A7" s="1">
        <v>7522</v>
      </c>
      <c r="B7" s="1" t="s">
        <v>35</v>
      </c>
      <c r="C7" s="1">
        <v>25</v>
      </c>
      <c r="D7" s="1">
        <v>34</v>
      </c>
      <c r="E7" s="1">
        <v>19</v>
      </c>
      <c r="F7" s="1">
        <v>36</v>
      </c>
      <c r="G7" s="1">
        <v>60.377358490566039</v>
      </c>
      <c r="H7" s="1">
        <v>66.666666666666657</v>
      </c>
      <c r="I7" s="1">
        <v>91.304347826086953</v>
      </c>
      <c r="J7" s="1">
        <v>40</v>
      </c>
      <c r="K7" s="1">
        <v>17</v>
      </c>
      <c r="L7" s="1">
        <v>15</v>
      </c>
      <c r="M7" s="1">
        <v>10</v>
      </c>
      <c r="N7" s="1">
        <v>29</v>
      </c>
      <c r="O7" s="1">
        <v>58</v>
      </c>
      <c r="P7" s="1">
        <v>5</v>
      </c>
      <c r="Q7" s="1">
        <v>4</v>
      </c>
      <c r="R7" s="1">
        <v>-90</v>
      </c>
      <c r="S7" s="1">
        <v>-108</v>
      </c>
      <c r="T7" s="1">
        <v>58</v>
      </c>
      <c r="U7" s="1">
        <v>62</v>
      </c>
      <c r="V7" s="1">
        <v>21</v>
      </c>
      <c r="W7" s="1">
        <v>22</v>
      </c>
      <c r="X7" s="1">
        <v>31</v>
      </c>
      <c r="Y7" s="1">
        <v>30</v>
      </c>
      <c r="Z7" s="1">
        <v>30</v>
      </c>
      <c r="AA7" s="1">
        <v>40</v>
      </c>
      <c r="AB7" s="1">
        <v>65</v>
      </c>
      <c r="AC7" s="1">
        <v>88</v>
      </c>
      <c r="AD7" s="1">
        <v>215</v>
      </c>
      <c r="AE7" s="1">
        <v>56</v>
      </c>
    </row>
    <row r="8" spans="1:31" x14ac:dyDescent="0.2">
      <c r="A8" s="1">
        <v>7546</v>
      </c>
      <c r="B8" s="1" t="s">
        <v>35</v>
      </c>
      <c r="C8" s="1">
        <v>30</v>
      </c>
      <c r="D8" s="1">
        <v>44</v>
      </c>
      <c r="E8" s="1">
        <v>22</v>
      </c>
      <c r="F8" s="1">
        <v>36</v>
      </c>
      <c r="G8" s="1">
        <v>66</v>
      </c>
      <c r="H8" s="1">
        <v>62</v>
      </c>
      <c r="I8" s="1">
        <v>74.358974358974365</v>
      </c>
      <c r="J8" s="1">
        <v>49</v>
      </c>
      <c r="K8" s="1">
        <v>16</v>
      </c>
      <c r="L8" s="1">
        <v>16</v>
      </c>
      <c r="M8" s="1">
        <v>10</v>
      </c>
      <c r="N8" s="1">
        <v>28</v>
      </c>
      <c r="O8" s="1">
        <v>59</v>
      </c>
      <c r="P8" s="1">
        <v>9</v>
      </c>
      <c r="Q8" s="1">
        <v>8</v>
      </c>
      <c r="R8" s="1">
        <v>-29</v>
      </c>
      <c r="S8" s="1">
        <v>-46</v>
      </c>
      <c r="T8" s="1">
        <v>59</v>
      </c>
      <c r="U8" s="1">
        <v>89</v>
      </c>
      <c r="V8" s="1">
        <v>22</v>
      </c>
      <c r="W8" s="1">
        <v>22</v>
      </c>
      <c r="X8" s="1">
        <v>32</v>
      </c>
      <c r="Y8" s="1">
        <v>30</v>
      </c>
      <c r="Z8" s="1">
        <v>30</v>
      </c>
      <c r="AA8" s="1">
        <v>37</v>
      </c>
      <c r="AB8" s="1">
        <v>64</v>
      </c>
      <c r="AC8" s="1">
        <v>88</v>
      </c>
      <c r="AD8" s="1">
        <v>226</v>
      </c>
      <c r="AE8" s="1">
        <v>61</v>
      </c>
    </row>
    <row r="9" spans="1:31" x14ac:dyDescent="0.2">
      <c r="A9" s="1">
        <v>7973</v>
      </c>
      <c r="B9" s="1" t="s">
        <v>35</v>
      </c>
      <c r="C9" s="1">
        <v>24</v>
      </c>
      <c r="D9" s="1">
        <v>34</v>
      </c>
      <c r="E9" s="1">
        <v>17</v>
      </c>
      <c r="F9" s="1">
        <v>36</v>
      </c>
      <c r="G9" s="1">
        <v>49.056603773584904</v>
      </c>
      <c r="H9" s="1">
        <v>66.666666666666657</v>
      </c>
      <c r="I9" s="1">
        <v>91.304347826086953</v>
      </c>
      <c r="J9" s="1">
        <v>42</v>
      </c>
      <c r="K9" s="1">
        <v>18</v>
      </c>
      <c r="L9" s="1">
        <v>15</v>
      </c>
      <c r="M9" s="1">
        <v>9</v>
      </c>
      <c r="N9" s="1">
        <v>16</v>
      </c>
      <c r="O9" s="1">
        <v>57</v>
      </c>
      <c r="P9" s="1">
        <v>5</v>
      </c>
      <c r="Q9" s="1">
        <v>3</v>
      </c>
      <c r="R9" s="1">
        <v>-35</v>
      </c>
      <c r="S9" s="1">
        <v>-127</v>
      </c>
      <c r="T9" s="1">
        <v>44</v>
      </c>
      <c r="U9" s="1">
        <v>29</v>
      </c>
      <c r="V9" s="1">
        <v>18</v>
      </c>
      <c r="W9" s="1">
        <v>22</v>
      </c>
      <c r="X9" s="1">
        <v>32</v>
      </c>
      <c r="Y9" s="1">
        <v>16</v>
      </c>
      <c r="Z9" s="1">
        <v>25</v>
      </c>
      <c r="AA9" s="1">
        <v>18</v>
      </c>
      <c r="AB9" s="1">
        <v>60</v>
      </c>
      <c r="AC9" s="1">
        <v>85</v>
      </c>
      <c r="AD9" s="1">
        <v>194</v>
      </c>
      <c r="AE9" s="1">
        <v>52</v>
      </c>
    </row>
    <row r="10" spans="1:31" x14ac:dyDescent="0.2">
      <c r="A10" s="1">
        <v>8149</v>
      </c>
      <c r="B10" s="1" t="s">
        <v>35</v>
      </c>
      <c r="C10" s="1">
        <v>27</v>
      </c>
      <c r="D10" s="1">
        <v>27</v>
      </c>
      <c r="E10" s="1">
        <v>18</v>
      </c>
      <c r="F10" s="1">
        <v>34</v>
      </c>
      <c r="G10" s="1">
        <v>46</v>
      </c>
      <c r="H10" s="1">
        <v>36</v>
      </c>
      <c r="I10" s="1">
        <v>61.53846153846154</v>
      </c>
      <c r="J10" s="1">
        <v>43</v>
      </c>
      <c r="K10" s="1">
        <v>18</v>
      </c>
      <c r="L10" s="1">
        <v>18</v>
      </c>
      <c r="M10" s="1">
        <v>10</v>
      </c>
      <c r="N10" s="1">
        <v>23</v>
      </c>
      <c r="O10" s="1">
        <v>59</v>
      </c>
      <c r="P10" s="1">
        <v>6</v>
      </c>
      <c r="Q10" s="1">
        <v>5</v>
      </c>
      <c r="R10" s="1">
        <v>-54</v>
      </c>
      <c r="S10" s="1">
        <v>-95</v>
      </c>
      <c r="T10" s="1">
        <v>57</v>
      </c>
      <c r="U10" s="1">
        <v>56</v>
      </c>
      <c r="V10" s="1">
        <v>22</v>
      </c>
      <c r="W10" s="1">
        <v>21</v>
      </c>
      <c r="X10" s="1">
        <v>32</v>
      </c>
      <c r="Y10" s="1">
        <v>30</v>
      </c>
      <c r="Z10" s="1">
        <v>30</v>
      </c>
      <c r="AA10" s="1">
        <v>34</v>
      </c>
      <c r="AB10" s="1">
        <v>65</v>
      </c>
      <c r="AC10" s="1">
        <v>88</v>
      </c>
      <c r="AD10" s="1">
        <v>223</v>
      </c>
      <c r="AE10" s="1">
        <v>59</v>
      </c>
    </row>
    <row r="11" spans="1:31" x14ac:dyDescent="0.2">
      <c r="A11" s="1">
        <v>10306</v>
      </c>
      <c r="B11" s="1" t="s">
        <v>35</v>
      </c>
      <c r="C11" s="1">
        <v>27</v>
      </c>
      <c r="D11" s="1">
        <v>27</v>
      </c>
      <c r="E11" s="1">
        <v>14</v>
      </c>
      <c r="F11" s="1">
        <v>35</v>
      </c>
      <c r="G11" s="1">
        <v>81.132075471698116</v>
      </c>
      <c r="H11" s="1">
        <v>103.33333333333334</v>
      </c>
      <c r="I11" s="1">
        <v>91.304347826086953</v>
      </c>
      <c r="J11" s="1">
        <v>47</v>
      </c>
      <c r="K11" s="1">
        <v>20</v>
      </c>
      <c r="L11" s="1">
        <v>19</v>
      </c>
      <c r="M11" s="1">
        <v>10</v>
      </c>
      <c r="N11" s="1">
        <v>30</v>
      </c>
      <c r="O11" s="1">
        <v>60</v>
      </c>
      <c r="P11" s="1">
        <v>7</v>
      </c>
      <c r="Q11" s="1">
        <v>4</v>
      </c>
      <c r="R11" s="1">
        <v>-32</v>
      </c>
      <c r="S11" s="1">
        <v>-76</v>
      </c>
      <c r="T11" s="1">
        <v>60</v>
      </c>
      <c r="U11" s="1">
        <v>61</v>
      </c>
      <c r="V11" s="1">
        <v>21</v>
      </c>
      <c r="W11" s="1">
        <v>22</v>
      </c>
      <c r="X11" s="1">
        <v>31</v>
      </c>
      <c r="Y11" s="1">
        <v>30</v>
      </c>
      <c r="Z11" s="1">
        <v>30</v>
      </c>
      <c r="AA11" s="1">
        <v>30</v>
      </c>
      <c r="AB11" s="1">
        <v>63</v>
      </c>
      <c r="AC11" s="1">
        <v>88</v>
      </c>
      <c r="AD11" s="1">
        <v>227</v>
      </c>
      <c r="AE11" s="1">
        <v>57</v>
      </c>
    </row>
    <row r="12" spans="1:31" x14ac:dyDescent="0.2">
      <c r="A12" s="1">
        <v>10339</v>
      </c>
      <c r="B12" s="1" t="s">
        <v>35</v>
      </c>
      <c r="C12" s="1">
        <v>28</v>
      </c>
      <c r="D12" s="1">
        <v>35</v>
      </c>
      <c r="E12" s="1">
        <v>22</v>
      </c>
      <c r="F12" s="1">
        <v>36</v>
      </c>
      <c r="G12" s="1">
        <v>62.264150943396224</v>
      </c>
      <c r="H12" s="1">
        <v>43.333333333333336</v>
      </c>
      <c r="I12" s="1">
        <v>78.260869565217391</v>
      </c>
      <c r="J12" s="1">
        <v>45</v>
      </c>
      <c r="K12" s="1">
        <v>12</v>
      </c>
      <c r="L12" s="1">
        <v>11</v>
      </c>
      <c r="M12" s="1">
        <v>9</v>
      </c>
      <c r="N12" s="1">
        <v>24</v>
      </c>
      <c r="O12" s="1">
        <v>60</v>
      </c>
      <c r="P12" s="1">
        <v>9</v>
      </c>
      <c r="Q12" s="1">
        <v>8</v>
      </c>
      <c r="R12" s="1">
        <v>-32</v>
      </c>
      <c r="S12" s="1">
        <v>-75</v>
      </c>
      <c r="T12" s="1">
        <v>56</v>
      </c>
      <c r="U12" s="1">
        <v>75</v>
      </c>
      <c r="V12" s="1">
        <v>21</v>
      </c>
      <c r="W12" s="1">
        <v>22</v>
      </c>
      <c r="X12" s="1">
        <v>32</v>
      </c>
      <c r="Y12" s="1">
        <v>30</v>
      </c>
      <c r="Z12" s="1">
        <v>30</v>
      </c>
      <c r="AA12" s="1">
        <v>40</v>
      </c>
      <c r="AB12" s="1">
        <v>64</v>
      </c>
      <c r="AC12" s="1">
        <v>88</v>
      </c>
      <c r="AD12" s="1">
        <v>222</v>
      </c>
      <c r="AE12" s="1">
        <v>55</v>
      </c>
    </row>
    <row r="13" spans="1:31" x14ac:dyDescent="0.2">
      <c r="A13" s="1">
        <v>10347</v>
      </c>
      <c r="B13" s="1" t="s">
        <v>35</v>
      </c>
      <c r="C13" s="1">
        <v>27</v>
      </c>
      <c r="D13" s="1">
        <v>32</v>
      </c>
      <c r="E13" s="1">
        <v>16</v>
      </c>
      <c r="F13" s="1">
        <v>36</v>
      </c>
      <c r="G13" s="1">
        <v>66.037735849056602</v>
      </c>
      <c r="H13" s="1">
        <v>43.333333333333336</v>
      </c>
      <c r="I13" s="1">
        <v>73.91304347826086</v>
      </c>
      <c r="J13" s="1">
        <v>41</v>
      </c>
      <c r="K13" s="1">
        <v>6</v>
      </c>
      <c r="L13" s="1">
        <v>6</v>
      </c>
      <c r="M13" s="1">
        <v>2</v>
      </c>
      <c r="N13" s="1">
        <v>29</v>
      </c>
      <c r="O13" s="1">
        <v>60</v>
      </c>
      <c r="P13" s="1">
        <v>8</v>
      </c>
      <c r="Q13" s="1">
        <v>6</v>
      </c>
      <c r="R13" s="1">
        <v>-41</v>
      </c>
      <c r="S13" s="1">
        <v>-59</v>
      </c>
      <c r="T13" s="1">
        <v>52</v>
      </c>
      <c r="U13" s="1">
        <v>74</v>
      </c>
      <c r="V13" s="1">
        <v>19</v>
      </c>
      <c r="W13" s="1">
        <v>22</v>
      </c>
      <c r="X13" s="1">
        <v>32</v>
      </c>
      <c r="Y13" s="1">
        <v>30</v>
      </c>
      <c r="Z13" s="1">
        <v>30</v>
      </c>
      <c r="AA13" s="1">
        <v>38</v>
      </c>
      <c r="AB13" s="1">
        <v>64</v>
      </c>
      <c r="AC13" s="1">
        <v>87</v>
      </c>
      <c r="AD13" s="1">
        <v>211</v>
      </c>
      <c r="AE13" s="1">
        <v>55</v>
      </c>
    </row>
    <row r="14" spans="1:31" x14ac:dyDescent="0.2">
      <c r="A14" s="1">
        <v>10599</v>
      </c>
      <c r="B14" s="1" t="s">
        <v>35</v>
      </c>
      <c r="C14" s="1">
        <v>29</v>
      </c>
      <c r="D14" s="1">
        <v>37</v>
      </c>
      <c r="E14" s="1">
        <v>22</v>
      </c>
      <c r="F14" s="1">
        <v>36</v>
      </c>
      <c r="G14" s="1">
        <v>66</v>
      </c>
      <c r="H14" s="1">
        <v>57.999999999999993</v>
      </c>
      <c r="I14" s="1">
        <v>58.974358974358978</v>
      </c>
      <c r="J14" s="1">
        <v>47</v>
      </c>
      <c r="K14" s="1">
        <v>16</v>
      </c>
      <c r="L14" s="1">
        <v>16</v>
      </c>
      <c r="M14" s="1">
        <v>8</v>
      </c>
      <c r="N14" s="1">
        <v>25</v>
      </c>
      <c r="O14" s="1">
        <v>60</v>
      </c>
      <c r="P14" s="1">
        <v>8</v>
      </c>
      <c r="Q14" s="1">
        <v>8</v>
      </c>
      <c r="R14" s="1">
        <v>-34</v>
      </c>
      <c r="S14" s="1">
        <v>-77</v>
      </c>
      <c r="T14" s="1">
        <v>57</v>
      </c>
      <c r="U14" s="1">
        <v>51.041666666666664</v>
      </c>
      <c r="V14" s="1">
        <v>22</v>
      </c>
      <c r="W14" s="1">
        <v>22</v>
      </c>
      <c r="X14" s="1">
        <v>32</v>
      </c>
      <c r="Y14" s="1">
        <v>30</v>
      </c>
      <c r="Z14" s="1">
        <v>30</v>
      </c>
      <c r="AA14" s="1">
        <v>40</v>
      </c>
      <c r="AB14" s="1">
        <v>65</v>
      </c>
      <c r="AC14" s="1">
        <v>88</v>
      </c>
      <c r="AD14" s="1">
        <v>226</v>
      </c>
      <c r="AE14" s="1">
        <v>61</v>
      </c>
    </row>
    <row r="15" spans="1:31" x14ac:dyDescent="0.2">
      <c r="A15" s="1">
        <v>10631</v>
      </c>
      <c r="B15" s="1" t="s">
        <v>35</v>
      </c>
      <c r="C15" s="1">
        <v>27</v>
      </c>
      <c r="D15" s="1">
        <v>27</v>
      </c>
      <c r="E15" s="1">
        <v>18</v>
      </c>
      <c r="F15" s="1">
        <v>36</v>
      </c>
      <c r="G15" s="1">
        <v>57.999999999999993</v>
      </c>
      <c r="H15" s="1">
        <v>50</v>
      </c>
      <c r="I15" s="1">
        <v>71.794871794871796</v>
      </c>
      <c r="J15" s="1">
        <v>40</v>
      </c>
      <c r="K15" s="1">
        <v>14</v>
      </c>
      <c r="L15" s="1">
        <v>15</v>
      </c>
      <c r="M15" s="1">
        <v>9</v>
      </c>
      <c r="N15" s="1">
        <v>30</v>
      </c>
      <c r="O15" s="1">
        <v>60</v>
      </c>
      <c r="P15" s="1">
        <v>6</v>
      </c>
      <c r="Q15" s="1">
        <v>5</v>
      </c>
      <c r="R15" s="1">
        <v>-28</v>
      </c>
      <c r="S15" s="1">
        <v>-57</v>
      </c>
      <c r="T15" s="1">
        <v>60</v>
      </c>
      <c r="U15" s="1">
        <v>47</v>
      </c>
      <c r="V15" s="1">
        <v>22</v>
      </c>
      <c r="W15" s="1">
        <v>22</v>
      </c>
      <c r="X15" s="1">
        <v>32</v>
      </c>
      <c r="Y15" s="1">
        <v>30</v>
      </c>
      <c r="Z15" s="1">
        <v>30</v>
      </c>
      <c r="AA15" s="1">
        <v>40</v>
      </c>
      <c r="AB15" s="1">
        <v>64</v>
      </c>
      <c r="AC15" s="1">
        <v>88</v>
      </c>
      <c r="AD15" s="1">
        <v>226</v>
      </c>
      <c r="AE15" s="1">
        <v>60</v>
      </c>
    </row>
    <row r="16" spans="1:31" x14ac:dyDescent="0.2">
      <c r="A16" s="1">
        <v>10668</v>
      </c>
      <c r="B16" s="1" t="s">
        <v>35</v>
      </c>
      <c r="C16" s="1">
        <v>24</v>
      </c>
      <c r="D16" s="1">
        <v>23</v>
      </c>
      <c r="E16" s="1">
        <v>14</v>
      </c>
      <c r="F16" s="1">
        <v>36</v>
      </c>
      <c r="G16" s="1">
        <v>56.60377358490566</v>
      </c>
      <c r="H16" s="1">
        <v>66.666666666666657</v>
      </c>
      <c r="I16" s="1">
        <v>69.565217391304344</v>
      </c>
      <c r="J16" s="1">
        <v>37</v>
      </c>
      <c r="K16" s="1">
        <v>11</v>
      </c>
      <c r="L16" s="1">
        <v>11</v>
      </c>
      <c r="M16" s="1">
        <v>6</v>
      </c>
      <c r="N16" s="1">
        <v>30</v>
      </c>
      <c r="O16" s="1">
        <v>57</v>
      </c>
      <c r="P16" s="1">
        <v>5</v>
      </c>
      <c r="Q16" s="1">
        <v>4</v>
      </c>
      <c r="R16" s="1">
        <v>-50</v>
      </c>
      <c r="S16" s="1">
        <v>-115</v>
      </c>
      <c r="T16" s="1">
        <v>58</v>
      </c>
      <c r="U16" s="1">
        <v>41</v>
      </c>
      <c r="V16" s="1">
        <v>22</v>
      </c>
      <c r="W16" s="1">
        <v>22</v>
      </c>
      <c r="X16" s="1">
        <v>32</v>
      </c>
      <c r="Y16" s="1">
        <v>29</v>
      </c>
      <c r="Z16" s="1">
        <v>30</v>
      </c>
      <c r="AA16" s="1">
        <v>21</v>
      </c>
      <c r="AB16" s="1">
        <v>65</v>
      </c>
      <c r="AC16" s="1">
        <v>88</v>
      </c>
      <c r="AD16" s="1">
        <v>219</v>
      </c>
      <c r="AE16" s="1">
        <v>55</v>
      </c>
    </row>
    <row r="17" spans="1:31" x14ac:dyDescent="0.2">
      <c r="A17" s="1">
        <v>11257</v>
      </c>
      <c r="B17" s="1" t="s">
        <v>35</v>
      </c>
      <c r="C17" s="1">
        <v>28</v>
      </c>
      <c r="D17" s="1">
        <v>34</v>
      </c>
      <c r="E17" s="1">
        <v>22</v>
      </c>
      <c r="F17" s="1">
        <v>35</v>
      </c>
      <c r="G17" s="1">
        <v>71.698113207547166</v>
      </c>
      <c r="H17" s="1">
        <v>86.666666666666671</v>
      </c>
      <c r="I17" s="1">
        <v>91.304347826086953</v>
      </c>
      <c r="J17" s="1">
        <v>42</v>
      </c>
      <c r="K17" s="1">
        <v>15</v>
      </c>
      <c r="L17" s="1">
        <v>17</v>
      </c>
      <c r="M17" s="1">
        <v>6</v>
      </c>
      <c r="N17" s="1">
        <v>27</v>
      </c>
      <c r="O17" s="1">
        <v>60</v>
      </c>
      <c r="P17" s="1">
        <v>6</v>
      </c>
      <c r="Q17" s="1">
        <v>5</v>
      </c>
      <c r="R17" s="1">
        <v>-36</v>
      </c>
      <c r="S17" s="1">
        <v>-60</v>
      </c>
      <c r="T17" s="1">
        <v>56</v>
      </c>
      <c r="U17" s="1">
        <v>37</v>
      </c>
      <c r="V17" s="1">
        <v>20</v>
      </c>
      <c r="W17" s="1">
        <v>22</v>
      </c>
      <c r="X17" s="1">
        <v>30</v>
      </c>
      <c r="Y17" s="1">
        <v>30</v>
      </c>
      <c r="Z17" s="1">
        <v>30</v>
      </c>
      <c r="AA17" s="1">
        <v>37</v>
      </c>
      <c r="AB17" s="1">
        <v>64</v>
      </c>
      <c r="AC17" s="1">
        <v>88</v>
      </c>
      <c r="AD17" s="1">
        <v>217</v>
      </c>
      <c r="AE17" s="1">
        <v>59</v>
      </c>
    </row>
    <row r="18" spans="1:31" x14ac:dyDescent="0.2">
      <c r="A18" s="1">
        <v>11693</v>
      </c>
      <c r="B18" s="1" t="s">
        <v>35</v>
      </c>
      <c r="C18" s="1">
        <v>24</v>
      </c>
      <c r="D18" s="1">
        <v>27</v>
      </c>
      <c r="E18" s="1">
        <v>15</v>
      </c>
      <c r="F18" s="1">
        <v>36</v>
      </c>
      <c r="G18" s="1">
        <v>79.245283018867923</v>
      </c>
      <c r="H18" s="1">
        <v>90</v>
      </c>
      <c r="I18" s="1">
        <v>100</v>
      </c>
      <c r="J18" s="1">
        <v>45</v>
      </c>
      <c r="K18" s="1">
        <v>14</v>
      </c>
      <c r="L18" s="1">
        <v>10</v>
      </c>
      <c r="M18" s="1">
        <v>7</v>
      </c>
      <c r="N18" s="1">
        <v>28</v>
      </c>
      <c r="O18" s="1">
        <v>59</v>
      </c>
      <c r="P18" s="1">
        <v>6</v>
      </c>
      <c r="Q18" s="1">
        <v>4</v>
      </c>
      <c r="R18" s="1">
        <v>-41</v>
      </c>
      <c r="S18" s="1">
        <v>-88</v>
      </c>
      <c r="T18" s="1">
        <v>56</v>
      </c>
      <c r="U18" s="1">
        <v>37</v>
      </c>
      <c r="V18" s="1">
        <v>21</v>
      </c>
      <c r="W18" s="1">
        <v>22</v>
      </c>
      <c r="X18" s="1">
        <v>32</v>
      </c>
      <c r="Y18" s="1">
        <v>30</v>
      </c>
      <c r="Z18" s="1">
        <v>30</v>
      </c>
      <c r="AA18" s="1">
        <v>38</v>
      </c>
      <c r="AB18" s="1">
        <v>64</v>
      </c>
      <c r="AC18" s="1">
        <v>88</v>
      </c>
      <c r="AD18" s="1">
        <v>217</v>
      </c>
      <c r="AE18" s="1">
        <v>58</v>
      </c>
    </row>
    <row r="19" spans="1:31" x14ac:dyDescent="0.2">
      <c r="A19" s="1">
        <v>11733</v>
      </c>
      <c r="B19" s="1" t="s">
        <v>35</v>
      </c>
      <c r="C19" s="1">
        <v>24</v>
      </c>
      <c r="D19" s="1">
        <v>33</v>
      </c>
      <c r="E19" s="1">
        <v>14</v>
      </c>
      <c r="F19" s="1">
        <v>35</v>
      </c>
      <c r="G19" s="1">
        <v>38</v>
      </c>
      <c r="H19" s="1">
        <v>30</v>
      </c>
      <c r="I19" s="1">
        <v>56.410256410256409</v>
      </c>
      <c r="J19" s="1">
        <v>41</v>
      </c>
      <c r="K19" s="1">
        <v>20</v>
      </c>
      <c r="L19" s="1">
        <v>19</v>
      </c>
      <c r="M19" s="1">
        <v>9</v>
      </c>
      <c r="N19" s="1">
        <v>29</v>
      </c>
      <c r="O19" s="1">
        <v>59</v>
      </c>
      <c r="P19" s="1">
        <v>7</v>
      </c>
      <c r="Q19" s="1">
        <v>6</v>
      </c>
      <c r="R19" s="1">
        <v>-26</v>
      </c>
      <c r="S19" s="1">
        <v>-48</v>
      </c>
      <c r="T19" s="1">
        <v>53</v>
      </c>
      <c r="U19" s="1">
        <v>49</v>
      </c>
      <c r="V19" s="1">
        <v>22</v>
      </c>
      <c r="W19" s="1">
        <v>22</v>
      </c>
      <c r="X19" s="1">
        <v>32</v>
      </c>
      <c r="Y19" s="1">
        <v>30</v>
      </c>
      <c r="Z19" s="1">
        <v>30</v>
      </c>
      <c r="AA19" s="1">
        <v>36</v>
      </c>
      <c r="AB19" s="1">
        <v>62</v>
      </c>
      <c r="AC19" s="1">
        <v>84</v>
      </c>
      <c r="AD19" s="1">
        <v>216</v>
      </c>
      <c r="AE19" s="1">
        <v>55</v>
      </c>
    </row>
    <row r="20" spans="1:31" x14ac:dyDescent="0.2">
      <c r="A20" s="1">
        <v>11752</v>
      </c>
      <c r="B20" s="1" t="s">
        <v>35</v>
      </c>
      <c r="C20" s="1">
        <v>28</v>
      </c>
      <c r="D20" s="1">
        <v>33</v>
      </c>
      <c r="E20" s="1">
        <v>21</v>
      </c>
      <c r="F20" s="1">
        <v>36</v>
      </c>
      <c r="G20" s="1">
        <v>38</v>
      </c>
      <c r="H20" s="1">
        <v>30</v>
      </c>
      <c r="I20" s="1">
        <v>51.282051282051277</v>
      </c>
      <c r="J20" s="1">
        <v>41</v>
      </c>
      <c r="K20" s="1">
        <v>14</v>
      </c>
      <c r="L20" s="1">
        <v>14</v>
      </c>
      <c r="M20" s="1">
        <v>9</v>
      </c>
      <c r="N20" s="1">
        <v>23</v>
      </c>
      <c r="O20" s="1">
        <v>60</v>
      </c>
      <c r="P20" s="1">
        <v>8</v>
      </c>
      <c r="Q20" s="1">
        <v>6</v>
      </c>
      <c r="R20" s="1">
        <v>-41</v>
      </c>
      <c r="S20" s="1">
        <v>-51</v>
      </c>
      <c r="T20" s="1">
        <v>52</v>
      </c>
      <c r="U20" s="1">
        <v>58</v>
      </c>
      <c r="V20" s="1">
        <v>22</v>
      </c>
      <c r="W20" s="1">
        <v>22</v>
      </c>
      <c r="X20" s="1">
        <v>32</v>
      </c>
      <c r="Y20" s="1">
        <v>30</v>
      </c>
      <c r="Z20" s="1">
        <v>30</v>
      </c>
      <c r="AA20" s="1">
        <v>36</v>
      </c>
      <c r="AB20" s="1">
        <v>63</v>
      </c>
      <c r="AC20" s="1">
        <v>88</v>
      </c>
      <c r="AD20" s="1">
        <v>219</v>
      </c>
      <c r="AE20" s="1">
        <v>55</v>
      </c>
    </row>
    <row r="21" spans="1:31" x14ac:dyDescent="0.2">
      <c r="A21" s="1">
        <v>11841</v>
      </c>
      <c r="B21" s="1" t="s">
        <v>35</v>
      </c>
      <c r="C21" s="1">
        <v>27</v>
      </c>
      <c r="D21" s="1">
        <v>37</v>
      </c>
      <c r="E21" s="1">
        <v>22</v>
      </c>
      <c r="F21" s="1">
        <v>36</v>
      </c>
      <c r="G21" s="1">
        <v>77.358490566037744</v>
      </c>
      <c r="H21" s="1">
        <v>96.666666666666671</v>
      </c>
      <c r="I21" s="1">
        <v>91.304347826086953</v>
      </c>
      <c r="J21" s="1">
        <v>39</v>
      </c>
      <c r="K21" s="1">
        <v>14</v>
      </c>
      <c r="L21" s="1">
        <v>18</v>
      </c>
      <c r="M21" s="1">
        <v>10</v>
      </c>
      <c r="N21" s="1">
        <v>30</v>
      </c>
      <c r="O21" s="1">
        <v>60</v>
      </c>
      <c r="P21" s="1">
        <v>6</v>
      </c>
      <c r="Q21" s="1">
        <v>6</v>
      </c>
      <c r="R21" s="1">
        <v>-50</v>
      </c>
      <c r="S21" s="1">
        <v>-110</v>
      </c>
      <c r="T21" s="1">
        <v>59</v>
      </c>
      <c r="U21" s="1">
        <v>60</v>
      </c>
      <c r="V21" s="1">
        <v>20</v>
      </c>
      <c r="W21" s="1">
        <v>22</v>
      </c>
      <c r="X21" s="1">
        <v>32</v>
      </c>
      <c r="Y21" s="1">
        <v>30</v>
      </c>
      <c r="Z21" s="1">
        <v>30</v>
      </c>
      <c r="AA21" s="1">
        <v>38</v>
      </c>
      <c r="AB21" s="1">
        <v>65</v>
      </c>
      <c r="AC21" s="1">
        <v>86</v>
      </c>
      <c r="AD21" s="1">
        <v>220</v>
      </c>
      <c r="AE21" s="1">
        <v>58</v>
      </c>
    </row>
    <row r="22" spans="1:31" x14ac:dyDescent="0.2">
      <c r="A22" s="1">
        <v>12073</v>
      </c>
      <c r="B22" s="1" t="s">
        <v>35</v>
      </c>
      <c r="C22" s="1">
        <v>24</v>
      </c>
      <c r="D22" s="1">
        <v>29</v>
      </c>
      <c r="E22" s="1">
        <v>20</v>
      </c>
      <c r="F22" s="1">
        <v>35</v>
      </c>
      <c r="G22" s="1">
        <v>75.471698113207552</v>
      </c>
      <c r="H22" s="1">
        <v>80</v>
      </c>
      <c r="I22" s="1">
        <v>95.652173913043484</v>
      </c>
      <c r="J22" s="1">
        <v>43</v>
      </c>
      <c r="K22" s="1">
        <v>12</v>
      </c>
      <c r="L22" s="1">
        <v>13</v>
      </c>
      <c r="M22" s="1">
        <v>9</v>
      </c>
      <c r="N22" s="1">
        <v>22</v>
      </c>
      <c r="O22" s="1">
        <v>59</v>
      </c>
      <c r="P22" s="1">
        <v>6</v>
      </c>
      <c r="Q22" s="1">
        <v>5</v>
      </c>
      <c r="R22" s="1">
        <v>-70</v>
      </c>
      <c r="S22" s="1">
        <v>-142</v>
      </c>
      <c r="T22" s="1">
        <v>54</v>
      </c>
      <c r="U22" s="1">
        <v>40</v>
      </c>
      <c r="V22" s="1">
        <v>22</v>
      </c>
      <c r="W22" s="1">
        <v>22</v>
      </c>
      <c r="X22" s="1">
        <v>31</v>
      </c>
      <c r="Y22" s="1">
        <v>30</v>
      </c>
      <c r="Z22" s="1">
        <v>30</v>
      </c>
      <c r="AA22" s="1">
        <v>34</v>
      </c>
      <c r="AB22" s="1">
        <v>65</v>
      </c>
      <c r="AC22" s="1">
        <v>86</v>
      </c>
      <c r="AD22" s="1">
        <v>216</v>
      </c>
      <c r="AE22" s="1">
        <v>51</v>
      </c>
    </row>
    <row r="23" spans="1:31" x14ac:dyDescent="0.2">
      <c r="A23" s="1">
        <v>12158</v>
      </c>
      <c r="B23" s="1" t="s">
        <v>35</v>
      </c>
      <c r="C23" s="1">
        <v>27</v>
      </c>
      <c r="D23" s="1">
        <v>21</v>
      </c>
      <c r="E23" s="1">
        <v>13</v>
      </c>
      <c r="F23" s="1">
        <v>32</v>
      </c>
      <c r="G23" s="1">
        <v>60.377358490566039</v>
      </c>
      <c r="H23" s="1">
        <v>83.333333333333343</v>
      </c>
      <c r="I23" s="1">
        <v>91.304347826086953</v>
      </c>
      <c r="J23" s="1">
        <v>47</v>
      </c>
      <c r="K23" s="1">
        <v>19</v>
      </c>
      <c r="L23" s="1">
        <v>19</v>
      </c>
      <c r="M23" s="1">
        <v>10</v>
      </c>
      <c r="N23" s="1">
        <v>30</v>
      </c>
      <c r="O23" s="1">
        <v>56</v>
      </c>
      <c r="P23" s="1">
        <v>5</v>
      </c>
      <c r="Q23" s="1">
        <v>5</v>
      </c>
      <c r="R23" s="1">
        <v>-63</v>
      </c>
      <c r="S23" s="1">
        <v>-123</v>
      </c>
      <c r="T23" s="1">
        <v>57</v>
      </c>
      <c r="U23" s="1">
        <v>27</v>
      </c>
      <c r="V23" s="1">
        <v>22</v>
      </c>
      <c r="W23" s="1">
        <v>22</v>
      </c>
      <c r="X23" s="1">
        <v>30</v>
      </c>
      <c r="Y23" s="1">
        <v>30</v>
      </c>
      <c r="Z23" s="1">
        <v>30</v>
      </c>
      <c r="AA23" s="1">
        <v>36</v>
      </c>
      <c r="AB23" s="1">
        <v>65</v>
      </c>
      <c r="AC23" s="1">
        <v>88</v>
      </c>
      <c r="AD23" s="1">
        <v>225</v>
      </c>
      <c r="AE23" s="1">
        <v>59</v>
      </c>
    </row>
    <row r="24" spans="1:31" x14ac:dyDescent="0.2">
      <c r="A24" s="1">
        <v>12269</v>
      </c>
      <c r="B24" s="1" t="s">
        <v>35</v>
      </c>
      <c r="C24" s="1">
        <v>28</v>
      </c>
      <c r="D24" s="1">
        <v>29</v>
      </c>
      <c r="E24" s="1">
        <v>17</v>
      </c>
      <c r="F24" s="1">
        <v>34</v>
      </c>
      <c r="G24" s="1">
        <v>56.000000000000007</v>
      </c>
      <c r="H24" s="1">
        <v>57.999999999999993</v>
      </c>
      <c r="I24" s="1">
        <v>79.487179487179489</v>
      </c>
      <c r="J24" s="1">
        <v>37</v>
      </c>
      <c r="K24" s="1">
        <v>13</v>
      </c>
      <c r="L24" s="1">
        <v>13</v>
      </c>
      <c r="M24" s="1">
        <v>8</v>
      </c>
      <c r="N24" s="1">
        <v>30</v>
      </c>
      <c r="O24" s="1">
        <v>60</v>
      </c>
      <c r="P24" s="1">
        <v>7</v>
      </c>
      <c r="Q24" s="1">
        <v>5</v>
      </c>
      <c r="R24" s="1">
        <v>-31</v>
      </c>
      <c r="S24" s="1">
        <v>-93</v>
      </c>
      <c r="T24" s="1">
        <v>60</v>
      </c>
      <c r="U24" s="1">
        <v>58</v>
      </c>
      <c r="V24" s="1">
        <v>21</v>
      </c>
      <c r="W24" s="1">
        <v>22</v>
      </c>
      <c r="X24" s="1">
        <v>32</v>
      </c>
      <c r="Y24" s="1">
        <v>30</v>
      </c>
      <c r="Z24" s="1">
        <v>30</v>
      </c>
      <c r="AA24" s="1">
        <v>38</v>
      </c>
      <c r="AB24" s="1">
        <v>63</v>
      </c>
      <c r="AC24" s="1">
        <v>88</v>
      </c>
      <c r="AD24" s="1">
        <v>224</v>
      </c>
      <c r="AE24" s="1">
        <v>59</v>
      </c>
    </row>
    <row r="25" spans="1:31" x14ac:dyDescent="0.2">
      <c r="A25" s="1">
        <v>12272</v>
      </c>
      <c r="B25" s="1" t="s">
        <v>35</v>
      </c>
      <c r="C25" s="1">
        <v>27</v>
      </c>
      <c r="D25" s="1">
        <v>29</v>
      </c>
      <c r="E25" s="1">
        <v>16</v>
      </c>
      <c r="F25" s="1">
        <v>36</v>
      </c>
      <c r="G25" s="1">
        <v>66</v>
      </c>
      <c r="H25" s="1">
        <v>52</v>
      </c>
      <c r="I25" s="1">
        <v>69.230769230769226</v>
      </c>
      <c r="J25" s="1">
        <v>44</v>
      </c>
      <c r="K25" s="1">
        <v>13</v>
      </c>
      <c r="L25" s="1">
        <v>14</v>
      </c>
      <c r="M25" s="1">
        <v>10</v>
      </c>
      <c r="N25" s="1">
        <v>30</v>
      </c>
      <c r="O25" s="1">
        <v>60</v>
      </c>
      <c r="P25" s="1">
        <v>6</v>
      </c>
      <c r="Q25" s="1">
        <v>5</v>
      </c>
      <c r="R25" s="1">
        <v>-27</v>
      </c>
      <c r="S25" s="1">
        <v>-75</v>
      </c>
      <c r="T25" s="1">
        <v>57</v>
      </c>
      <c r="U25" s="1">
        <v>36</v>
      </c>
      <c r="V25" s="1">
        <v>22</v>
      </c>
      <c r="W25" s="1">
        <v>21</v>
      </c>
      <c r="X25" s="1">
        <v>31</v>
      </c>
      <c r="Y25" s="1">
        <v>29</v>
      </c>
      <c r="Z25" s="1">
        <v>30</v>
      </c>
      <c r="AA25" s="1">
        <v>38</v>
      </c>
      <c r="AB25" s="1">
        <v>63</v>
      </c>
      <c r="AC25" s="1">
        <v>88</v>
      </c>
      <c r="AD25" s="1">
        <v>215</v>
      </c>
      <c r="AE25" s="1">
        <v>60</v>
      </c>
    </row>
    <row r="26" spans="1:31" x14ac:dyDescent="0.2">
      <c r="A26" s="1">
        <v>12370</v>
      </c>
      <c r="B26" s="1" t="s">
        <v>35</v>
      </c>
      <c r="C26" s="1">
        <v>27</v>
      </c>
      <c r="D26" s="1">
        <v>30</v>
      </c>
      <c r="E26" s="1">
        <v>12</v>
      </c>
      <c r="F26" s="1">
        <v>34</v>
      </c>
      <c r="G26" s="1">
        <v>64</v>
      </c>
      <c r="H26" s="1">
        <v>40</v>
      </c>
      <c r="I26" s="1">
        <v>66.666666666666657</v>
      </c>
      <c r="J26" s="1">
        <v>40</v>
      </c>
      <c r="K26" s="1">
        <v>18</v>
      </c>
      <c r="L26" s="1">
        <v>18</v>
      </c>
      <c r="M26" s="1">
        <v>10</v>
      </c>
      <c r="N26" s="1">
        <v>27</v>
      </c>
      <c r="O26" s="1">
        <v>60</v>
      </c>
      <c r="P26" s="1">
        <v>9</v>
      </c>
      <c r="Q26" s="1">
        <v>7</v>
      </c>
      <c r="R26" s="1">
        <v>-27</v>
      </c>
      <c r="S26" s="1">
        <v>-44</v>
      </c>
      <c r="T26" s="1">
        <v>54</v>
      </c>
      <c r="U26" s="1">
        <v>87</v>
      </c>
      <c r="V26" s="1">
        <v>22</v>
      </c>
      <c r="W26" s="1">
        <v>22</v>
      </c>
      <c r="X26" s="1">
        <v>32</v>
      </c>
      <c r="Y26" s="1">
        <v>30</v>
      </c>
      <c r="Z26" s="1">
        <v>30</v>
      </c>
      <c r="AA26" s="1">
        <v>40</v>
      </c>
      <c r="AB26" s="1">
        <v>65</v>
      </c>
      <c r="AC26" s="1">
        <v>88</v>
      </c>
      <c r="AD26" s="1">
        <v>214</v>
      </c>
      <c r="AE26" s="1">
        <v>54</v>
      </c>
    </row>
    <row r="27" spans="1:31" x14ac:dyDescent="0.2">
      <c r="A27" s="6">
        <v>10285</v>
      </c>
      <c r="B27" s="1" t="s">
        <v>2</v>
      </c>
      <c r="C27" s="6">
        <v>25</v>
      </c>
      <c r="D27" s="6">
        <v>38</v>
      </c>
      <c r="E27" s="6">
        <v>19</v>
      </c>
      <c r="F27" s="6">
        <v>36</v>
      </c>
      <c r="G27" s="1">
        <v>45.283018867924532</v>
      </c>
      <c r="H27" s="1">
        <v>63.333333333333329</v>
      </c>
      <c r="I27" s="1">
        <v>73.91304347826086</v>
      </c>
      <c r="J27" s="6">
        <v>45</v>
      </c>
      <c r="K27" s="6">
        <v>16</v>
      </c>
      <c r="L27" s="6">
        <v>16</v>
      </c>
      <c r="M27" s="6">
        <v>10</v>
      </c>
      <c r="N27" s="6">
        <v>29</v>
      </c>
      <c r="O27" s="6">
        <v>59</v>
      </c>
      <c r="P27" s="6">
        <v>5</v>
      </c>
      <c r="Q27" s="6">
        <v>5</v>
      </c>
      <c r="R27" s="1">
        <v>-61</v>
      </c>
      <c r="S27" s="1">
        <v>-199</v>
      </c>
      <c r="T27" s="6">
        <v>57</v>
      </c>
      <c r="U27" s="6">
        <v>18</v>
      </c>
      <c r="V27" s="6">
        <v>22</v>
      </c>
      <c r="W27" s="6">
        <v>22</v>
      </c>
      <c r="X27" s="6">
        <v>32</v>
      </c>
      <c r="Y27" s="6">
        <v>26</v>
      </c>
      <c r="Z27" s="6">
        <v>30</v>
      </c>
      <c r="AA27" s="6">
        <v>31</v>
      </c>
      <c r="AB27" s="6">
        <v>64</v>
      </c>
      <c r="AC27" s="6">
        <v>84</v>
      </c>
      <c r="AD27" s="6">
        <v>212</v>
      </c>
      <c r="AE27" s="6">
        <v>57</v>
      </c>
    </row>
    <row r="28" spans="1:31" x14ac:dyDescent="0.2">
      <c r="A28" s="6">
        <v>8539</v>
      </c>
      <c r="B28" s="1" t="s">
        <v>2</v>
      </c>
      <c r="C28" s="6">
        <v>19</v>
      </c>
      <c r="D28" s="6">
        <v>26.09090909090909</v>
      </c>
      <c r="E28" s="6">
        <v>13.727272727272727</v>
      </c>
      <c r="F28" s="6">
        <v>34.272727272727273</v>
      </c>
      <c r="G28" s="6">
        <v>32.654088050314463</v>
      </c>
      <c r="H28" s="6">
        <v>33.944444444444436</v>
      </c>
      <c r="I28" s="6">
        <v>65.932738758825721</v>
      </c>
      <c r="J28" s="6">
        <v>44</v>
      </c>
      <c r="K28" s="6">
        <v>15</v>
      </c>
      <c r="L28" s="6">
        <v>15</v>
      </c>
      <c r="M28" s="6">
        <v>10</v>
      </c>
      <c r="N28" s="6">
        <v>29</v>
      </c>
      <c r="O28" s="6">
        <v>59</v>
      </c>
      <c r="P28" s="6">
        <v>3</v>
      </c>
      <c r="Q28" s="6">
        <v>3</v>
      </c>
      <c r="R28" s="1">
        <v>-42</v>
      </c>
      <c r="S28" s="1">
        <v>-123</v>
      </c>
      <c r="T28" s="6">
        <v>23</v>
      </c>
      <c r="U28" s="6">
        <v>21</v>
      </c>
      <c r="V28" s="6">
        <v>14</v>
      </c>
      <c r="W28" s="6">
        <v>22</v>
      </c>
      <c r="X28" s="6">
        <v>30.7</v>
      </c>
      <c r="Y28" s="6">
        <v>23.2</v>
      </c>
      <c r="Z28" s="6">
        <v>15</v>
      </c>
      <c r="AA28" s="6">
        <v>5</v>
      </c>
      <c r="AB28" s="6">
        <v>52.083333333333336</v>
      </c>
      <c r="AC28" s="6">
        <v>73.181818181818187</v>
      </c>
      <c r="AD28" s="6">
        <v>169</v>
      </c>
      <c r="AE28" s="6">
        <v>53</v>
      </c>
    </row>
    <row r="29" spans="1:31" x14ac:dyDescent="0.2">
      <c r="A29" s="6">
        <v>10361</v>
      </c>
      <c r="B29" s="1" t="s">
        <v>2</v>
      </c>
      <c r="C29" s="6">
        <v>14</v>
      </c>
      <c r="D29" s="6">
        <v>12</v>
      </c>
      <c r="E29" s="6">
        <v>7</v>
      </c>
      <c r="F29" s="6">
        <v>28</v>
      </c>
      <c r="G29" s="1">
        <v>20.754716981132077</v>
      </c>
      <c r="H29" s="1">
        <v>20</v>
      </c>
      <c r="I29" s="1">
        <v>86.956521739130437</v>
      </c>
      <c r="J29" s="6">
        <v>26</v>
      </c>
      <c r="K29" s="6">
        <v>10</v>
      </c>
      <c r="L29" s="6">
        <v>10</v>
      </c>
      <c r="M29" s="6">
        <v>8</v>
      </c>
      <c r="N29" s="6">
        <v>0</v>
      </c>
      <c r="O29" s="6">
        <v>43</v>
      </c>
      <c r="P29" s="6">
        <v>5</v>
      </c>
      <c r="Q29" s="6">
        <v>4</v>
      </c>
      <c r="R29" s="1">
        <v>-108</v>
      </c>
      <c r="S29" s="1">
        <v>-181.4</v>
      </c>
      <c r="T29" s="6">
        <v>53</v>
      </c>
      <c r="U29" s="6">
        <v>14</v>
      </c>
      <c r="V29" s="6">
        <v>21</v>
      </c>
      <c r="W29" s="6">
        <v>22</v>
      </c>
      <c r="X29" s="6">
        <v>32</v>
      </c>
      <c r="Y29" s="6">
        <v>23.2</v>
      </c>
      <c r="Z29" s="6">
        <v>26</v>
      </c>
      <c r="AA29" s="6">
        <v>40</v>
      </c>
      <c r="AB29" s="6">
        <v>29</v>
      </c>
      <c r="AC29" s="6">
        <v>72</v>
      </c>
      <c r="AD29" s="6">
        <v>214</v>
      </c>
      <c r="AE29" s="6">
        <v>46</v>
      </c>
    </row>
    <row r="30" spans="1:31" x14ac:dyDescent="0.2">
      <c r="A30" s="6">
        <v>12756</v>
      </c>
      <c r="B30" s="1" t="s">
        <v>2</v>
      </c>
      <c r="C30" s="6">
        <v>14</v>
      </c>
      <c r="D30" s="6">
        <v>26.09090909090909</v>
      </c>
      <c r="E30" s="6">
        <v>13.727272727272727</v>
      </c>
      <c r="F30" s="6">
        <v>34.272727272727273</v>
      </c>
      <c r="G30" s="1">
        <v>10</v>
      </c>
      <c r="H30" s="1">
        <v>8</v>
      </c>
      <c r="I30" s="1">
        <v>20.512820512820511</v>
      </c>
      <c r="J30" s="6">
        <v>36.272727272727273</v>
      </c>
      <c r="K30" s="6">
        <v>10</v>
      </c>
      <c r="L30" s="6">
        <v>15</v>
      </c>
      <c r="M30" s="6">
        <v>8</v>
      </c>
      <c r="N30" s="6">
        <v>17</v>
      </c>
      <c r="O30" s="6">
        <v>57</v>
      </c>
      <c r="P30" s="6">
        <v>4</v>
      </c>
      <c r="Q30" s="6">
        <v>3</v>
      </c>
      <c r="R30" s="1">
        <v>-94</v>
      </c>
      <c r="S30" s="1">
        <v>-398</v>
      </c>
      <c r="T30" s="6">
        <v>27</v>
      </c>
      <c r="U30" s="6">
        <v>9</v>
      </c>
      <c r="V30" s="6">
        <v>5</v>
      </c>
      <c r="W30" s="6">
        <v>21</v>
      </c>
      <c r="X30" s="6">
        <v>29</v>
      </c>
      <c r="Y30" s="6">
        <v>7</v>
      </c>
      <c r="Z30" s="6">
        <v>24</v>
      </c>
      <c r="AA30" s="6">
        <v>32</v>
      </c>
      <c r="AB30" s="6">
        <v>19</v>
      </c>
      <c r="AC30" s="6">
        <v>47</v>
      </c>
      <c r="AD30" s="6">
        <v>208</v>
      </c>
      <c r="AE30" s="6">
        <v>51</v>
      </c>
    </row>
    <row r="31" spans="1:31" x14ac:dyDescent="0.2">
      <c r="A31" s="6">
        <v>12828</v>
      </c>
      <c r="B31" s="1" t="s">
        <v>2</v>
      </c>
      <c r="C31" s="6">
        <v>22</v>
      </c>
      <c r="D31" s="6">
        <v>36</v>
      </c>
      <c r="E31" s="6">
        <v>16</v>
      </c>
      <c r="F31" s="6">
        <v>36</v>
      </c>
      <c r="G31" s="1">
        <v>54.716981132075468</v>
      </c>
      <c r="H31" s="1">
        <v>60</v>
      </c>
      <c r="I31" s="1">
        <v>91.304347826086953</v>
      </c>
      <c r="J31" s="6">
        <v>32</v>
      </c>
      <c r="K31" s="6">
        <v>10</v>
      </c>
      <c r="L31" s="6">
        <v>10</v>
      </c>
      <c r="M31" s="6">
        <v>8</v>
      </c>
      <c r="N31" s="6">
        <v>22</v>
      </c>
      <c r="O31" s="6">
        <v>57</v>
      </c>
      <c r="P31" s="6">
        <v>5</v>
      </c>
      <c r="Q31" s="6">
        <v>3</v>
      </c>
      <c r="R31" s="1">
        <v>-78</v>
      </c>
      <c r="S31" s="1">
        <v>-204</v>
      </c>
      <c r="T31" s="6">
        <v>49</v>
      </c>
      <c r="U31" s="6">
        <v>17</v>
      </c>
      <c r="V31" s="6">
        <v>20</v>
      </c>
      <c r="W31" s="6">
        <v>21</v>
      </c>
      <c r="X31" s="6">
        <v>31</v>
      </c>
      <c r="Y31" s="6">
        <v>25</v>
      </c>
      <c r="Z31" s="6">
        <v>30</v>
      </c>
      <c r="AA31" s="6">
        <v>35</v>
      </c>
      <c r="AB31" s="6">
        <v>59</v>
      </c>
      <c r="AC31" s="6">
        <v>87</v>
      </c>
      <c r="AD31" s="6">
        <v>202</v>
      </c>
      <c r="AE31" s="6">
        <v>51</v>
      </c>
    </row>
    <row r="32" spans="1:31" x14ac:dyDescent="0.2">
      <c r="A32" s="6">
        <v>11014</v>
      </c>
      <c r="B32" s="1" t="s">
        <v>2</v>
      </c>
      <c r="C32" s="6">
        <v>12</v>
      </c>
      <c r="D32" s="6">
        <v>15</v>
      </c>
      <c r="E32" s="6">
        <v>5</v>
      </c>
      <c r="F32" s="6">
        <v>34</v>
      </c>
      <c r="G32" s="1">
        <v>26.415094339622641</v>
      </c>
      <c r="H32" s="1">
        <v>20</v>
      </c>
      <c r="I32" s="1">
        <v>82.608695652173907</v>
      </c>
      <c r="J32" s="6">
        <v>35</v>
      </c>
      <c r="K32" s="6">
        <v>7</v>
      </c>
      <c r="L32" s="6">
        <v>8</v>
      </c>
      <c r="M32" s="6">
        <v>5</v>
      </c>
      <c r="N32" s="6">
        <v>22</v>
      </c>
      <c r="O32" s="6">
        <v>35</v>
      </c>
      <c r="P32" s="6">
        <v>6</v>
      </c>
      <c r="Q32" s="6">
        <v>4</v>
      </c>
      <c r="R32" s="1">
        <v>-176</v>
      </c>
      <c r="S32" s="1">
        <v>-181.4</v>
      </c>
      <c r="T32" s="6">
        <v>8</v>
      </c>
      <c r="U32" s="6">
        <v>17</v>
      </c>
      <c r="V32" s="6">
        <v>12</v>
      </c>
      <c r="W32" s="6">
        <v>18</v>
      </c>
      <c r="X32" s="6">
        <v>27</v>
      </c>
      <c r="Y32" s="6">
        <v>29</v>
      </c>
      <c r="Z32" s="6">
        <v>19</v>
      </c>
      <c r="AA32" s="6">
        <v>39</v>
      </c>
      <c r="AB32" s="6">
        <v>62</v>
      </c>
      <c r="AC32" s="6">
        <v>80</v>
      </c>
      <c r="AD32" s="6">
        <v>167</v>
      </c>
      <c r="AE32" s="6">
        <v>34</v>
      </c>
    </row>
    <row r="33" spans="1:31" x14ac:dyDescent="0.2">
      <c r="A33" s="6">
        <v>12829</v>
      </c>
      <c r="B33" s="1" t="s">
        <v>2</v>
      </c>
      <c r="C33" s="6">
        <v>21</v>
      </c>
      <c r="D33" s="6">
        <v>21</v>
      </c>
      <c r="E33" s="6">
        <v>13</v>
      </c>
      <c r="F33" s="6">
        <v>35</v>
      </c>
      <c r="G33" s="1">
        <v>41.509433962264154</v>
      </c>
      <c r="H33" s="1">
        <v>43.333333333333336</v>
      </c>
      <c r="I33" s="1">
        <v>78.260869565217391</v>
      </c>
      <c r="J33" s="6">
        <v>34</v>
      </c>
      <c r="K33" s="6">
        <v>16</v>
      </c>
      <c r="L33" s="6">
        <v>14</v>
      </c>
      <c r="M33" s="6">
        <v>10</v>
      </c>
      <c r="N33" s="6">
        <v>28</v>
      </c>
      <c r="O33" s="6">
        <v>35</v>
      </c>
      <c r="P33" s="6">
        <v>6</v>
      </c>
      <c r="Q33" s="6">
        <v>3</v>
      </c>
      <c r="R33" s="1">
        <v>-89</v>
      </c>
      <c r="S33" s="1">
        <v>-275</v>
      </c>
      <c r="T33" s="6">
        <v>54</v>
      </c>
      <c r="U33" s="6">
        <v>7</v>
      </c>
      <c r="V33" s="6">
        <v>21</v>
      </c>
      <c r="W33" s="6">
        <v>22</v>
      </c>
      <c r="X33" s="6">
        <v>32</v>
      </c>
      <c r="Y33" s="6">
        <v>30</v>
      </c>
      <c r="Z33" s="6">
        <v>30</v>
      </c>
      <c r="AA33" s="6">
        <v>31</v>
      </c>
      <c r="AB33" s="6">
        <v>62</v>
      </c>
      <c r="AC33" s="6">
        <v>86</v>
      </c>
      <c r="AD33" s="6">
        <v>215</v>
      </c>
      <c r="AE33" s="6">
        <v>50</v>
      </c>
    </row>
    <row r="34" spans="1:31" x14ac:dyDescent="0.2">
      <c r="A34" s="6">
        <v>12952</v>
      </c>
      <c r="B34" s="1" t="s">
        <v>2</v>
      </c>
      <c r="C34" s="6">
        <v>26</v>
      </c>
      <c r="D34" s="6">
        <v>40</v>
      </c>
      <c r="E34" s="6">
        <v>24</v>
      </c>
      <c r="F34" s="6">
        <v>36</v>
      </c>
      <c r="G34" s="1">
        <v>52</v>
      </c>
      <c r="H34" s="1">
        <v>48</v>
      </c>
      <c r="I34" s="1">
        <v>56.410256410256409</v>
      </c>
      <c r="J34" s="6">
        <v>43</v>
      </c>
      <c r="K34" s="6">
        <v>16</v>
      </c>
      <c r="L34" s="6">
        <v>15</v>
      </c>
      <c r="M34" s="6">
        <v>8</v>
      </c>
      <c r="N34" s="6">
        <v>15</v>
      </c>
      <c r="O34" s="6">
        <v>58</v>
      </c>
      <c r="P34" s="6">
        <v>5</v>
      </c>
      <c r="Q34" s="6">
        <v>4</v>
      </c>
      <c r="R34" s="1">
        <v>-62</v>
      </c>
      <c r="S34" s="1">
        <v>-105</v>
      </c>
      <c r="T34" s="6">
        <v>40</v>
      </c>
      <c r="U34" s="6">
        <v>17</v>
      </c>
      <c r="V34" s="6">
        <v>21</v>
      </c>
      <c r="W34" s="6">
        <v>22</v>
      </c>
      <c r="X34" s="6">
        <v>32</v>
      </c>
      <c r="Y34" s="6">
        <v>27</v>
      </c>
      <c r="Z34" s="6">
        <v>30</v>
      </c>
      <c r="AA34" s="6">
        <v>37</v>
      </c>
      <c r="AB34" s="6">
        <v>63</v>
      </c>
      <c r="AC34" s="6">
        <v>85</v>
      </c>
      <c r="AD34" s="6">
        <v>168</v>
      </c>
      <c r="AE34" s="6">
        <v>55</v>
      </c>
    </row>
    <row r="35" spans="1:31" x14ac:dyDescent="0.2">
      <c r="A35" s="6">
        <v>13187</v>
      </c>
      <c r="B35" s="1" t="s">
        <v>2</v>
      </c>
      <c r="C35" s="6">
        <v>23</v>
      </c>
      <c r="D35" s="6">
        <v>27</v>
      </c>
      <c r="E35" s="6">
        <v>19</v>
      </c>
      <c r="F35" s="6">
        <v>35</v>
      </c>
      <c r="G35" s="1">
        <v>10</v>
      </c>
      <c r="H35" s="1">
        <v>0</v>
      </c>
      <c r="I35" s="1">
        <v>53.846153846153847</v>
      </c>
      <c r="J35" s="6">
        <v>35</v>
      </c>
      <c r="K35" s="6">
        <v>16</v>
      </c>
      <c r="L35" s="6">
        <v>15</v>
      </c>
      <c r="M35" s="6">
        <v>9</v>
      </c>
      <c r="N35" s="6">
        <v>28</v>
      </c>
      <c r="O35" s="6">
        <v>60</v>
      </c>
      <c r="P35" s="6">
        <v>4</v>
      </c>
      <c r="Q35" s="6">
        <v>3</v>
      </c>
      <c r="R35" s="1">
        <v>-37</v>
      </c>
      <c r="S35" s="1">
        <v>-151</v>
      </c>
      <c r="T35" s="6">
        <v>46</v>
      </c>
      <c r="U35" s="6">
        <v>23</v>
      </c>
      <c r="V35" s="6">
        <v>16</v>
      </c>
      <c r="W35" s="6">
        <v>22</v>
      </c>
      <c r="X35" s="6">
        <v>30.7</v>
      </c>
      <c r="Y35" s="6">
        <v>23.2</v>
      </c>
      <c r="Z35" s="6">
        <v>18</v>
      </c>
      <c r="AA35" s="6">
        <v>21</v>
      </c>
      <c r="AB35" s="6">
        <v>43</v>
      </c>
      <c r="AC35" s="6">
        <v>39</v>
      </c>
      <c r="AD35" s="6">
        <v>190</v>
      </c>
      <c r="AE35" s="6">
        <v>54</v>
      </c>
    </row>
    <row r="36" spans="1:31" x14ac:dyDescent="0.2">
      <c r="A36" s="6">
        <v>13196</v>
      </c>
      <c r="B36" s="1" t="s">
        <v>2</v>
      </c>
      <c r="C36" s="6">
        <v>25</v>
      </c>
      <c r="D36" s="6">
        <v>24</v>
      </c>
      <c r="E36" s="6">
        <v>14</v>
      </c>
      <c r="F36" s="6">
        <v>36</v>
      </c>
      <c r="G36" s="1">
        <v>34</v>
      </c>
      <c r="H36" s="1">
        <v>30</v>
      </c>
      <c r="I36" s="1">
        <v>66.666666666666657</v>
      </c>
      <c r="J36" s="6">
        <v>40</v>
      </c>
      <c r="K36" s="6">
        <v>12</v>
      </c>
      <c r="L36" s="6">
        <v>11</v>
      </c>
      <c r="M36" s="6">
        <v>10</v>
      </c>
      <c r="N36" s="6">
        <v>28</v>
      </c>
      <c r="O36" s="6">
        <v>53</v>
      </c>
      <c r="P36" s="6">
        <v>4</v>
      </c>
      <c r="Q36" s="6">
        <v>4</v>
      </c>
      <c r="R36" s="1">
        <v>-76</v>
      </c>
      <c r="S36" s="1">
        <v>-149</v>
      </c>
      <c r="T36" s="6">
        <v>51</v>
      </c>
      <c r="U36" s="6">
        <v>14</v>
      </c>
      <c r="V36" s="6">
        <v>20</v>
      </c>
      <c r="W36" s="6">
        <v>22</v>
      </c>
      <c r="X36" s="6">
        <v>31</v>
      </c>
      <c r="Y36" s="6">
        <v>27</v>
      </c>
      <c r="Z36" s="6">
        <v>30</v>
      </c>
      <c r="AA36" s="6">
        <v>35</v>
      </c>
      <c r="AB36" s="6">
        <v>54</v>
      </c>
      <c r="AC36" s="6">
        <v>73.181818181818187</v>
      </c>
      <c r="AD36" s="6">
        <v>206</v>
      </c>
      <c r="AE36" s="6">
        <v>54</v>
      </c>
    </row>
    <row r="37" spans="1:31" x14ac:dyDescent="0.2">
      <c r="A37" s="6">
        <v>13074</v>
      </c>
      <c r="B37" s="1" t="s">
        <v>2</v>
      </c>
      <c r="C37" s="6">
        <v>26</v>
      </c>
      <c r="D37" s="6">
        <v>32</v>
      </c>
      <c r="E37" s="6">
        <v>14</v>
      </c>
      <c r="F37" s="6">
        <v>36</v>
      </c>
      <c r="G37" s="1">
        <v>50</v>
      </c>
      <c r="H37" s="1">
        <v>48</v>
      </c>
      <c r="I37" s="1">
        <v>58.974358974358978</v>
      </c>
      <c r="J37" s="6">
        <v>41</v>
      </c>
      <c r="K37" s="6">
        <v>16</v>
      </c>
      <c r="L37" s="6">
        <v>14</v>
      </c>
      <c r="M37" s="6">
        <v>9</v>
      </c>
      <c r="N37" s="6">
        <v>20</v>
      </c>
      <c r="O37" s="6">
        <v>59</v>
      </c>
      <c r="P37" s="6">
        <v>7</v>
      </c>
      <c r="Q37" s="6">
        <v>4</v>
      </c>
      <c r="R37" s="1">
        <v>-48</v>
      </c>
      <c r="S37" s="1">
        <v>-75</v>
      </c>
      <c r="T37" s="6">
        <v>40</v>
      </c>
      <c r="U37" s="6">
        <v>28</v>
      </c>
      <c r="V37" s="6">
        <v>20</v>
      </c>
      <c r="W37" s="6">
        <v>22</v>
      </c>
      <c r="X37" s="6">
        <v>32</v>
      </c>
      <c r="Y37" s="6">
        <v>29</v>
      </c>
      <c r="Z37" s="6">
        <v>30</v>
      </c>
      <c r="AA37" s="6">
        <v>31</v>
      </c>
      <c r="AB37" s="6">
        <v>62</v>
      </c>
      <c r="AC37" s="6">
        <v>86</v>
      </c>
      <c r="AD37" s="6">
        <v>195</v>
      </c>
      <c r="AE37" s="6">
        <v>50</v>
      </c>
    </row>
    <row r="38" spans="1:31" x14ac:dyDescent="0.2">
      <c r="A38" s="6">
        <v>13188</v>
      </c>
      <c r="B38" s="1" t="s">
        <v>2</v>
      </c>
      <c r="C38" s="6">
        <v>23</v>
      </c>
      <c r="D38" s="6">
        <v>25</v>
      </c>
      <c r="E38" s="6">
        <v>16</v>
      </c>
      <c r="F38" s="6">
        <v>35</v>
      </c>
      <c r="G38" s="1">
        <v>24.528301886792452</v>
      </c>
      <c r="H38" s="1">
        <v>43.333333333333336</v>
      </c>
      <c r="I38" s="1">
        <v>69.565217391304344</v>
      </c>
      <c r="J38" s="6">
        <v>24</v>
      </c>
      <c r="K38" s="6">
        <v>17</v>
      </c>
      <c r="L38" s="6">
        <v>19</v>
      </c>
      <c r="M38" s="6">
        <v>8</v>
      </c>
      <c r="N38" s="6">
        <v>26</v>
      </c>
      <c r="O38" s="6">
        <v>59</v>
      </c>
      <c r="P38" s="6">
        <v>5</v>
      </c>
      <c r="Q38" s="6">
        <v>3</v>
      </c>
      <c r="R38" s="1">
        <v>-57</v>
      </c>
      <c r="S38" s="1">
        <v>-135</v>
      </c>
      <c r="T38" s="6">
        <v>39</v>
      </c>
      <c r="U38" s="6">
        <v>6</v>
      </c>
      <c r="V38" s="6">
        <v>14</v>
      </c>
      <c r="W38" s="6">
        <v>22</v>
      </c>
      <c r="X38" s="6">
        <v>29</v>
      </c>
      <c r="Y38" s="6">
        <v>22</v>
      </c>
      <c r="Z38" s="6">
        <v>25</v>
      </c>
      <c r="AA38" s="6">
        <v>28</v>
      </c>
      <c r="AB38" s="6">
        <v>55</v>
      </c>
      <c r="AC38" s="6">
        <v>81</v>
      </c>
      <c r="AD38" s="6">
        <v>201</v>
      </c>
      <c r="AE38" s="6">
        <v>50</v>
      </c>
    </row>
    <row r="39" spans="1:31" x14ac:dyDescent="0.2">
      <c r="A39" s="6">
        <v>13156</v>
      </c>
      <c r="B39" s="1" t="s">
        <v>2</v>
      </c>
      <c r="C39" s="6">
        <v>7</v>
      </c>
      <c r="D39" s="6">
        <v>17</v>
      </c>
      <c r="E39" s="6">
        <v>4</v>
      </c>
      <c r="F39" s="6">
        <v>30</v>
      </c>
      <c r="G39" s="1">
        <v>22.641509433962266</v>
      </c>
      <c r="H39" s="1">
        <v>23.333333333333332</v>
      </c>
      <c r="I39" s="1">
        <v>52.173913043478258</v>
      </c>
      <c r="J39" s="6">
        <v>36.272727272727273</v>
      </c>
      <c r="K39" s="6">
        <v>5</v>
      </c>
      <c r="L39" s="6">
        <v>5</v>
      </c>
      <c r="M39" s="6">
        <v>3</v>
      </c>
      <c r="N39" s="6">
        <v>22</v>
      </c>
      <c r="O39" s="6">
        <v>33</v>
      </c>
      <c r="P39" s="6">
        <v>3</v>
      </c>
      <c r="Q39" s="6">
        <v>2</v>
      </c>
      <c r="R39" s="1">
        <v>-414</v>
      </c>
      <c r="S39" s="1">
        <v>-181.4</v>
      </c>
      <c r="T39" s="6">
        <v>31</v>
      </c>
      <c r="U39" s="6">
        <v>10</v>
      </c>
      <c r="V39" s="6">
        <v>17</v>
      </c>
      <c r="W39" s="6">
        <v>20</v>
      </c>
      <c r="X39" s="6">
        <v>30.7</v>
      </c>
      <c r="Y39" s="6">
        <v>10</v>
      </c>
      <c r="Z39" s="6">
        <v>21</v>
      </c>
      <c r="AA39" s="6">
        <v>30.416666666666668</v>
      </c>
      <c r="AB39" s="6">
        <v>53</v>
      </c>
      <c r="AC39" s="6">
        <v>58</v>
      </c>
      <c r="AD39" s="6">
        <v>189</v>
      </c>
      <c r="AE39" s="6">
        <v>38</v>
      </c>
    </row>
    <row r="40" spans="1:31" x14ac:dyDescent="0.2">
      <c r="A40" s="6">
        <v>2103</v>
      </c>
      <c r="B40" s="1" t="s">
        <v>3</v>
      </c>
      <c r="C40" s="6">
        <v>14</v>
      </c>
      <c r="D40" s="6">
        <v>16</v>
      </c>
      <c r="E40" s="6">
        <v>8</v>
      </c>
      <c r="F40" s="6">
        <v>32</v>
      </c>
      <c r="G40" s="1">
        <v>32.075471698113205</v>
      </c>
      <c r="H40" s="1">
        <v>3.3333333333333335</v>
      </c>
      <c r="I40" s="1">
        <v>56.521739130434781</v>
      </c>
      <c r="J40" s="6">
        <v>26</v>
      </c>
      <c r="K40" s="6">
        <v>1</v>
      </c>
      <c r="L40" s="6">
        <v>1</v>
      </c>
      <c r="M40" s="6">
        <v>1</v>
      </c>
      <c r="N40" s="6">
        <v>20.625</v>
      </c>
      <c r="O40" s="6">
        <v>54</v>
      </c>
      <c r="P40" s="6">
        <v>6</v>
      </c>
      <c r="Q40" s="6">
        <v>6</v>
      </c>
      <c r="R40" s="1">
        <v>-127</v>
      </c>
      <c r="S40" s="1">
        <v>-317</v>
      </c>
      <c r="T40" s="6">
        <v>46</v>
      </c>
      <c r="U40" s="6">
        <v>29</v>
      </c>
      <c r="V40" s="6">
        <v>19</v>
      </c>
      <c r="W40" s="6">
        <v>22</v>
      </c>
      <c r="X40" s="6">
        <v>31</v>
      </c>
      <c r="Y40" s="6">
        <v>28</v>
      </c>
      <c r="Z40" s="6">
        <v>29</v>
      </c>
      <c r="AA40" s="6">
        <v>27</v>
      </c>
      <c r="AB40" s="6">
        <v>62</v>
      </c>
      <c r="AC40" s="6">
        <v>88</v>
      </c>
      <c r="AD40" s="6">
        <v>198</v>
      </c>
      <c r="AE40" s="6">
        <v>50</v>
      </c>
    </row>
    <row r="41" spans="1:31" x14ac:dyDescent="0.2">
      <c r="A41" s="6">
        <v>7352</v>
      </c>
      <c r="B41" s="1" t="s">
        <v>3</v>
      </c>
      <c r="C41" s="6">
        <v>26</v>
      </c>
      <c r="D41" s="6">
        <v>32</v>
      </c>
      <c r="E41" s="6">
        <v>19</v>
      </c>
      <c r="F41" s="6">
        <v>33</v>
      </c>
      <c r="G41" s="1">
        <v>67.924528301886795</v>
      </c>
      <c r="H41" s="1">
        <v>50</v>
      </c>
      <c r="I41" s="1">
        <v>82.608695652173907</v>
      </c>
      <c r="J41" s="6">
        <v>39</v>
      </c>
      <c r="K41" s="6">
        <v>17</v>
      </c>
      <c r="L41" s="6">
        <v>16</v>
      </c>
      <c r="M41" s="6">
        <v>7</v>
      </c>
      <c r="N41" s="6">
        <v>30</v>
      </c>
      <c r="O41" s="6">
        <v>60</v>
      </c>
      <c r="P41" s="6">
        <v>8</v>
      </c>
      <c r="Q41" s="6">
        <v>6</v>
      </c>
      <c r="R41" s="1">
        <v>-36</v>
      </c>
      <c r="S41" s="1">
        <v>-73</v>
      </c>
      <c r="T41" s="6">
        <v>55</v>
      </c>
      <c r="U41" s="6">
        <v>43</v>
      </c>
      <c r="V41" s="6">
        <v>21</v>
      </c>
      <c r="W41" s="6">
        <v>22</v>
      </c>
      <c r="X41" s="6">
        <v>31</v>
      </c>
      <c r="Y41" s="6">
        <v>30</v>
      </c>
      <c r="Z41" s="6">
        <v>30</v>
      </c>
      <c r="AA41" s="6">
        <v>36</v>
      </c>
      <c r="AB41" s="6">
        <v>65</v>
      </c>
      <c r="AC41" s="6">
        <v>88</v>
      </c>
      <c r="AD41" s="6">
        <v>220</v>
      </c>
      <c r="AE41" s="6">
        <v>59</v>
      </c>
    </row>
    <row r="42" spans="1:31" x14ac:dyDescent="0.2">
      <c r="A42" s="6">
        <v>8961</v>
      </c>
      <c r="B42" s="1" t="s">
        <v>3</v>
      </c>
      <c r="C42" s="6">
        <v>25</v>
      </c>
      <c r="D42" s="6">
        <v>26</v>
      </c>
      <c r="E42" s="6">
        <v>15</v>
      </c>
      <c r="F42" s="6">
        <v>31</v>
      </c>
      <c r="G42" s="1">
        <v>54.716981132075468</v>
      </c>
      <c r="H42" s="1">
        <v>46.666666666666664</v>
      </c>
      <c r="I42" s="1">
        <v>65.217391304347828</v>
      </c>
      <c r="J42" s="6">
        <v>33</v>
      </c>
      <c r="K42" s="6">
        <v>4</v>
      </c>
      <c r="L42" s="6">
        <v>3</v>
      </c>
      <c r="M42" s="6">
        <v>6</v>
      </c>
      <c r="N42" s="6">
        <v>17</v>
      </c>
      <c r="O42" s="6">
        <v>48</v>
      </c>
      <c r="P42" s="6">
        <v>7</v>
      </c>
      <c r="Q42" s="6">
        <v>3</v>
      </c>
      <c r="R42" s="1">
        <v>-89</v>
      </c>
      <c r="S42" s="1">
        <v>-343</v>
      </c>
      <c r="T42" s="6">
        <v>45</v>
      </c>
      <c r="U42" s="6">
        <v>35</v>
      </c>
      <c r="V42" s="6">
        <v>18</v>
      </c>
      <c r="W42" s="6">
        <v>21</v>
      </c>
      <c r="X42" s="6">
        <v>32</v>
      </c>
      <c r="Y42" s="6">
        <v>18</v>
      </c>
      <c r="Z42" s="6">
        <v>30</v>
      </c>
      <c r="AA42" s="6">
        <v>24</v>
      </c>
      <c r="AB42" s="6">
        <v>62</v>
      </c>
      <c r="AC42" s="6">
        <v>71</v>
      </c>
      <c r="AD42" s="6">
        <v>192</v>
      </c>
      <c r="AE42" s="6">
        <v>44</v>
      </c>
    </row>
    <row r="43" spans="1:31" x14ac:dyDescent="0.2">
      <c r="A43" s="6">
        <v>11264</v>
      </c>
      <c r="B43" s="1" t="s">
        <v>3</v>
      </c>
      <c r="C43" s="6">
        <v>21</v>
      </c>
      <c r="D43" s="6">
        <v>23</v>
      </c>
      <c r="E43" s="6">
        <v>12</v>
      </c>
      <c r="F43" s="6">
        <v>32</v>
      </c>
      <c r="G43" s="1">
        <v>49.056603773584904</v>
      </c>
      <c r="H43" s="1">
        <v>13.333333333333334</v>
      </c>
      <c r="I43" s="1">
        <v>65.217391304347828</v>
      </c>
      <c r="J43" s="6">
        <v>31</v>
      </c>
      <c r="K43" s="6">
        <v>13</v>
      </c>
      <c r="L43" s="6">
        <v>14</v>
      </c>
      <c r="M43" s="6">
        <v>7</v>
      </c>
      <c r="N43" s="6">
        <v>17</v>
      </c>
      <c r="O43" s="6">
        <v>50</v>
      </c>
      <c r="P43" s="6">
        <v>5</v>
      </c>
      <c r="Q43" s="6">
        <v>3</v>
      </c>
      <c r="R43" s="1">
        <v>-61</v>
      </c>
      <c r="S43" s="1">
        <v>-316</v>
      </c>
      <c r="T43" s="6">
        <v>54</v>
      </c>
      <c r="U43" s="6">
        <v>38</v>
      </c>
      <c r="V43" s="6">
        <v>19</v>
      </c>
      <c r="W43" s="6">
        <v>22</v>
      </c>
      <c r="X43" s="6">
        <v>30</v>
      </c>
      <c r="Y43" s="6">
        <v>29</v>
      </c>
      <c r="Z43" s="6">
        <v>29</v>
      </c>
      <c r="AA43" s="6">
        <v>35</v>
      </c>
      <c r="AB43" s="6">
        <v>46</v>
      </c>
      <c r="AC43" s="6">
        <v>78</v>
      </c>
      <c r="AD43" s="6">
        <v>205</v>
      </c>
      <c r="AE43" s="6">
        <v>54</v>
      </c>
    </row>
    <row r="44" spans="1:31" x14ac:dyDescent="0.2">
      <c r="A44" s="6">
        <v>11634</v>
      </c>
      <c r="B44" s="1" t="s">
        <v>3</v>
      </c>
      <c r="C44" s="6">
        <v>23</v>
      </c>
      <c r="D44" s="6">
        <v>23</v>
      </c>
      <c r="E44" s="6">
        <v>2</v>
      </c>
      <c r="F44" s="6">
        <v>30</v>
      </c>
      <c r="G44" s="6">
        <v>44.750524109014663</v>
      </c>
      <c r="H44" s="6">
        <v>20.416666666666664</v>
      </c>
      <c r="I44" s="6">
        <v>57.946240554936203</v>
      </c>
      <c r="J44" s="6">
        <v>35</v>
      </c>
      <c r="K44" s="6">
        <v>7</v>
      </c>
      <c r="L44" s="6">
        <v>0</v>
      </c>
      <c r="M44" s="6">
        <v>0</v>
      </c>
      <c r="N44" s="6">
        <v>26</v>
      </c>
      <c r="O44" s="6">
        <v>57</v>
      </c>
      <c r="P44" s="6">
        <v>6</v>
      </c>
      <c r="Q44" s="6">
        <v>4</v>
      </c>
      <c r="R44" s="1">
        <v>-58</v>
      </c>
      <c r="S44" s="1">
        <v>-123</v>
      </c>
      <c r="T44" s="6">
        <v>43</v>
      </c>
      <c r="U44" s="6">
        <v>28</v>
      </c>
      <c r="V44" s="6">
        <v>22</v>
      </c>
      <c r="W44" s="6">
        <v>22</v>
      </c>
      <c r="X44" s="6">
        <v>32</v>
      </c>
      <c r="Y44" s="6">
        <v>30</v>
      </c>
      <c r="Z44" s="6">
        <v>30</v>
      </c>
      <c r="AA44" s="6">
        <v>37</v>
      </c>
      <c r="AB44" s="6">
        <v>62</v>
      </c>
      <c r="AC44" s="6">
        <v>87</v>
      </c>
      <c r="AD44" s="6">
        <v>208</v>
      </c>
      <c r="AE44" s="6">
        <v>56</v>
      </c>
    </row>
    <row r="45" spans="1:31" x14ac:dyDescent="0.2">
      <c r="A45" s="6">
        <v>12257</v>
      </c>
      <c r="B45" s="1" t="s">
        <v>3</v>
      </c>
      <c r="C45" s="6">
        <v>18</v>
      </c>
      <c r="D45" s="6">
        <v>15</v>
      </c>
      <c r="E45" s="6">
        <v>1</v>
      </c>
      <c r="F45" s="6">
        <v>19</v>
      </c>
      <c r="G45" s="1">
        <v>33.962264150943398</v>
      </c>
      <c r="H45" s="6">
        <v>20.416666666666668</v>
      </c>
      <c r="I45" s="1">
        <v>39.130434782608695</v>
      </c>
      <c r="J45" s="6">
        <v>36</v>
      </c>
      <c r="K45" s="6">
        <v>1</v>
      </c>
      <c r="L45" s="6">
        <v>6.4444444444444446</v>
      </c>
      <c r="M45" s="6">
        <v>1</v>
      </c>
      <c r="N45" s="6">
        <v>18</v>
      </c>
      <c r="O45" s="6">
        <v>59</v>
      </c>
      <c r="P45" s="6">
        <v>5</v>
      </c>
      <c r="Q45" s="6">
        <v>5</v>
      </c>
      <c r="R45" s="1">
        <v>-76</v>
      </c>
      <c r="S45" s="1">
        <v>-114</v>
      </c>
      <c r="T45" s="6">
        <v>50</v>
      </c>
      <c r="U45" s="6">
        <v>22</v>
      </c>
      <c r="V45" s="6">
        <v>22</v>
      </c>
      <c r="W45" s="6">
        <v>22</v>
      </c>
      <c r="X45" s="6">
        <v>29</v>
      </c>
      <c r="Y45" s="6">
        <v>30</v>
      </c>
      <c r="Z45" s="6">
        <v>30</v>
      </c>
      <c r="AA45" s="6">
        <v>34</v>
      </c>
      <c r="AB45" s="6">
        <v>65</v>
      </c>
      <c r="AC45" s="6">
        <v>86</v>
      </c>
      <c r="AD45" s="6">
        <v>206</v>
      </c>
      <c r="AE45" s="6">
        <v>52</v>
      </c>
    </row>
    <row r="46" spans="1:31" x14ac:dyDescent="0.2">
      <c r="A46" s="6">
        <v>12813</v>
      </c>
      <c r="B46" s="1" t="s">
        <v>3</v>
      </c>
      <c r="C46" s="6">
        <v>24</v>
      </c>
      <c r="D46" s="6">
        <v>19</v>
      </c>
      <c r="E46" s="6">
        <v>14</v>
      </c>
      <c r="F46" s="6">
        <v>34</v>
      </c>
      <c r="G46" s="1">
        <v>44</v>
      </c>
      <c r="H46" s="1">
        <v>42</v>
      </c>
      <c r="I46" s="1">
        <v>69.230769230769226</v>
      </c>
      <c r="J46" s="6">
        <v>40</v>
      </c>
      <c r="K46" s="6">
        <v>49</v>
      </c>
      <c r="L46" s="6">
        <v>19</v>
      </c>
      <c r="M46" s="6">
        <v>9</v>
      </c>
      <c r="N46" s="6">
        <v>22</v>
      </c>
      <c r="O46" s="6">
        <v>60</v>
      </c>
      <c r="P46" s="6">
        <v>8</v>
      </c>
      <c r="Q46" s="6">
        <v>4</v>
      </c>
      <c r="R46" s="1">
        <v>-52</v>
      </c>
      <c r="S46" s="1">
        <v>-84</v>
      </c>
      <c r="T46" s="6">
        <v>54</v>
      </c>
      <c r="U46" s="6">
        <v>41</v>
      </c>
      <c r="V46" s="6">
        <v>22</v>
      </c>
      <c r="W46" s="6">
        <v>22</v>
      </c>
      <c r="X46" s="6">
        <v>32</v>
      </c>
      <c r="Y46" s="6">
        <v>30</v>
      </c>
      <c r="Z46" s="6">
        <v>30</v>
      </c>
      <c r="AA46" s="6">
        <v>34</v>
      </c>
      <c r="AB46" s="6">
        <v>61</v>
      </c>
      <c r="AC46" s="6">
        <v>88</v>
      </c>
      <c r="AD46" s="6">
        <v>213</v>
      </c>
      <c r="AE46" s="6">
        <v>54</v>
      </c>
    </row>
    <row r="47" spans="1:31" x14ac:dyDescent="0.2">
      <c r="A47" s="6">
        <v>11633</v>
      </c>
      <c r="B47" s="1" t="s">
        <v>3</v>
      </c>
      <c r="C47" s="6">
        <v>24</v>
      </c>
      <c r="D47" s="6">
        <v>23</v>
      </c>
      <c r="E47" s="6">
        <v>1</v>
      </c>
      <c r="F47" s="6">
        <v>18</v>
      </c>
      <c r="G47" s="1">
        <v>56.60377358490566</v>
      </c>
      <c r="H47" s="1">
        <v>0</v>
      </c>
      <c r="I47" s="1">
        <v>56.521739130434781</v>
      </c>
      <c r="J47" s="6">
        <v>34</v>
      </c>
      <c r="K47" s="6">
        <v>1</v>
      </c>
      <c r="L47" s="6">
        <v>0</v>
      </c>
      <c r="M47" s="6">
        <v>2</v>
      </c>
      <c r="N47" s="6">
        <v>20.625</v>
      </c>
      <c r="O47" s="6">
        <v>57</v>
      </c>
      <c r="P47" s="6">
        <v>8</v>
      </c>
      <c r="Q47" s="6">
        <v>5</v>
      </c>
      <c r="R47" s="1">
        <v>-82</v>
      </c>
      <c r="S47" s="1">
        <v>-128</v>
      </c>
      <c r="T47" s="6">
        <v>47</v>
      </c>
      <c r="U47" s="6">
        <v>37</v>
      </c>
      <c r="V47" s="6">
        <v>22</v>
      </c>
      <c r="W47" s="6">
        <v>21</v>
      </c>
      <c r="X47" s="6">
        <v>28</v>
      </c>
      <c r="Y47" s="6">
        <v>30</v>
      </c>
      <c r="Z47" s="6">
        <v>30</v>
      </c>
      <c r="AA47" s="6">
        <v>18</v>
      </c>
      <c r="AB47" s="6">
        <v>64</v>
      </c>
      <c r="AC47" s="6">
        <v>88</v>
      </c>
      <c r="AD47" s="6">
        <v>209</v>
      </c>
      <c r="AE47" s="6">
        <v>51</v>
      </c>
    </row>
    <row r="48" spans="1:31" x14ac:dyDescent="0.2">
      <c r="A48" s="6">
        <v>13442</v>
      </c>
      <c r="B48" s="1" t="s">
        <v>3</v>
      </c>
      <c r="C48" s="6">
        <v>24</v>
      </c>
      <c r="D48" s="6">
        <v>25</v>
      </c>
      <c r="E48" s="6">
        <v>10</v>
      </c>
      <c r="F48" s="6">
        <v>4</v>
      </c>
      <c r="G48" s="1">
        <v>38</v>
      </c>
      <c r="H48" s="1">
        <v>8</v>
      </c>
      <c r="I48" s="1">
        <v>43.589743589743591</v>
      </c>
      <c r="J48" s="6">
        <v>39</v>
      </c>
      <c r="K48" s="6">
        <v>1</v>
      </c>
      <c r="L48" s="6">
        <v>5</v>
      </c>
      <c r="M48" s="6">
        <v>5</v>
      </c>
      <c r="N48" s="6">
        <v>15</v>
      </c>
      <c r="O48" s="6">
        <v>60</v>
      </c>
      <c r="P48" s="6">
        <v>8</v>
      </c>
      <c r="Q48" s="6">
        <v>4</v>
      </c>
      <c r="R48" s="1">
        <v>-51</v>
      </c>
      <c r="S48" s="1">
        <v>-165</v>
      </c>
      <c r="T48" s="6">
        <v>52</v>
      </c>
      <c r="U48" s="6">
        <v>27</v>
      </c>
      <c r="V48" s="6">
        <v>22</v>
      </c>
      <c r="W48" s="6">
        <v>22</v>
      </c>
      <c r="X48" s="6">
        <v>29</v>
      </c>
      <c r="Y48" s="6">
        <v>30</v>
      </c>
      <c r="Z48" s="6">
        <v>30</v>
      </c>
      <c r="AA48" s="6">
        <v>37</v>
      </c>
      <c r="AB48" s="6">
        <v>65</v>
      </c>
      <c r="AC48" s="6">
        <v>88</v>
      </c>
      <c r="AD48" s="6">
        <v>213</v>
      </c>
      <c r="AE48" s="6">
        <v>55</v>
      </c>
    </row>
    <row r="49" spans="1:31" x14ac:dyDescent="0.2">
      <c r="A49" s="6">
        <v>13773</v>
      </c>
      <c r="B49" s="1" t="s">
        <v>3</v>
      </c>
      <c r="C49" s="6">
        <v>20</v>
      </c>
      <c r="D49" s="6">
        <v>19</v>
      </c>
      <c r="E49" s="6">
        <v>0</v>
      </c>
      <c r="F49" s="6">
        <v>20</v>
      </c>
      <c r="G49" s="1">
        <v>26.415094339622641</v>
      </c>
      <c r="H49" s="1">
        <v>0</v>
      </c>
      <c r="I49" s="1">
        <v>43.478260869565219</v>
      </c>
      <c r="J49" s="6">
        <v>38</v>
      </c>
      <c r="K49" s="6">
        <v>2</v>
      </c>
      <c r="L49" s="6">
        <v>0</v>
      </c>
      <c r="M49" s="6">
        <v>2</v>
      </c>
      <c r="N49" s="6">
        <v>20</v>
      </c>
      <c r="O49" s="6">
        <v>58</v>
      </c>
      <c r="P49" s="6">
        <v>7</v>
      </c>
      <c r="Q49" s="6">
        <v>4</v>
      </c>
      <c r="R49" s="1">
        <v>-39</v>
      </c>
      <c r="S49" s="1">
        <v>-133</v>
      </c>
      <c r="T49" s="6">
        <v>51</v>
      </c>
      <c r="U49" s="6">
        <v>52</v>
      </c>
      <c r="V49" s="6">
        <v>22</v>
      </c>
      <c r="W49" s="6">
        <v>22</v>
      </c>
      <c r="X49" s="6">
        <v>28</v>
      </c>
      <c r="Y49" s="6">
        <v>28</v>
      </c>
      <c r="Z49" s="6">
        <v>29</v>
      </c>
      <c r="AA49" s="6">
        <v>39</v>
      </c>
      <c r="AB49" s="6">
        <v>43</v>
      </c>
      <c r="AC49" s="6">
        <v>88</v>
      </c>
      <c r="AD49" s="6">
        <v>218</v>
      </c>
      <c r="AE49" s="6">
        <v>43</v>
      </c>
    </row>
    <row r="58" spans="1:31" x14ac:dyDescent="0.2">
      <c r="U58" s="4">
        <f>48*29</f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allsubj_nts</vt:lpstr>
      <vt:lpstr>controls_nts</vt:lpstr>
      <vt:lpstr>ppa_nts</vt:lpstr>
      <vt:lpstr>mci_nts</vt:lpstr>
      <vt:lpstr>controls_adjusted</vt:lpstr>
      <vt:lpstr>ppa_adjusted</vt:lpstr>
      <vt:lpstr>mci_adjusted</vt:lpstr>
      <vt:lpstr>allsubj_adjusted</vt:lpstr>
      <vt:lpstr>neuropsych_data_am_ppa_mci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Jed A. Meltzer</cp:lastModifiedBy>
  <dcterms:created xsi:type="dcterms:W3CDTF">2017-01-18T13:56:00Z</dcterms:created>
  <dcterms:modified xsi:type="dcterms:W3CDTF">2023-08-29T16:32:11Z</dcterms:modified>
</cp:coreProperties>
</file>