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/>
  </bookViews>
  <sheets>
    <sheet name="Sheet1" sheetId="1" r:id="rId1"/>
    <sheet name="Sheet3" sheetId="3" r:id="rId2"/>
  </sheets>
  <calcPr calcId="125725"/>
</workbook>
</file>

<file path=xl/calcChain.xml><?xml version="1.0" encoding="utf-8"?>
<calcChain xmlns="http://schemas.openxmlformats.org/spreadsheetml/2006/main">
  <c r="G27" i="1"/>
  <c r="L16"/>
  <c r="L17"/>
  <c r="G89"/>
  <c r="L89" s="1"/>
  <c r="L168"/>
  <c r="L167"/>
  <c r="L166"/>
  <c r="L165"/>
  <c r="L164"/>
  <c r="L163"/>
  <c r="L176"/>
  <c r="L175"/>
  <c r="L174"/>
  <c r="L173"/>
  <c r="L172"/>
  <c r="L171"/>
  <c r="L170"/>
  <c r="L169"/>
  <c r="L161"/>
  <c r="L160"/>
  <c r="L156"/>
  <c r="L153"/>
  <c r="L152"/>
  <c r="L150"/>
  <c r="L144"/>
  <c r="L140"/>
  <c r="L137"/>
  <c r="L136"/>
  <c r="L132"/>
  <c r="L121"/>
  <c r="L120"/>
  <c r="L119"/>
  <c r="L118"/>
  <c r="L112"/>
  <c r="L111"/>
  <c r="L110"/>
  <c r="L109"/>
  <c r="L108"/>
  <c r="L101"/>
  <c r="L95"/>
  <c r="L94"/>
  <c r="L88"/>
  <c r="L87"/>
  <c r="L86"/>
  <c r="L85"/>
  <c r="L84"/>
  <c r="L7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44"/>
  <c r="L41"/>
  <c r="L34"/>
  <c r="L33"/>
  <c r="G33"/>
  <c r="G34"/>
  <c r="L32"/>
  <c r="L31"/>
  <c r="L30"/>
  <c r="L29"/>
  <c r="L28"/>
  <c r="L27"/>
  <c r="L19"/>
  <c r="L15"/>
  <c r="L14"/>
  <c r="L13"/>
  <c r="L12"/>
  <c r="G146"/>
  <c r="L146" s="1"/>
  <c r="G147"/>
  <c r="L147" s="1"/>
  <c r="G148"/>
  <c r="L148" s="1"/>
  <c r="G149"/>
  <c r="L149" s="1"/>
  <c r="G150"/>
  <c r="G145"/>
  <c r="L145" s="1"/>
  <c r="G142"/>
  <c r="L142" s="1"/>
  <c r="G143"/>
  <c r="L143" s="1"/>
  <c r="G144"/>
  <c r="G140"/>
  <c r="G141"/>
  <c r="L141" s="1"/>
  <c r="G85"/>
  <c r="G84"/>
  <c r="G83"/>
  <c r="L83" s="1"/>
  <c r="G77"/>
  <c r="L77" s="1"/>
  <c r="G78"/>
  <c r="L78" s="1"/>
  <c r="G79"/>
  <c r="L79" s="1"/>
  <c r="G80"/>
  <c r="L80" s="1"/>
  <c r="G74"/>
  <c r="L74" s="1"/>
  <c r="G75"/>
  <c r="L75" s="1"/>
  <c r="G76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G153"/>
  <c r="G154"/>
  <c r="L154" s="1"/>
  <c r="G155"/>
  <c r="L155" s="1"/>
  <c r="G156"/>
  <c r="G157"/>
  <c r="L157" s="1"/>
  <c r="G158"/>
  <c r="L158" s="1"/>
  <c r="G159"/>
  <c r="L159" s="1"/>
  <c r="G160"/>
  <c r="G161"/>
  <c r="G162"/>
  <c r="L162" s="1"/>
  <c r="G131"/>
  <c r="L131" s="1"/>
  <c r="G132"/>
  <c r="G133"/>
  <c r="L133" s="1"/>
  <c r="G134"/>
  <c r="L134" s="1"/>
  <c r="G135"/>
  <c r="L135" s="1"/>
  <c r="G136"/>
  <c r="G137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G119"/>
  <c r="G120"/>
  <c r="G12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G100"/>
  <c r="L100" s="1"/>
  <c r="G99"/>
  <c r="L99" s="1"/>
  <c r="G43"/>
  <c r="L43" s="1"/>
  <c r="G91"/>
  <c r="L91" s="1"/>
  <c r="G92"/>
  <c r="L92" s="1"/>
  <c r="G93"/>
  <c r="L93" s="1"/>
  <c r="G94"/>
  <c r="G95"/>
  <c r="G96"/>
  <c r="L96" s="1"/>
  <c r="G97"/>
  <c r="L97" s="1"/>
  <c r="G98"/>
  <c r="L98" s="1"/>
  <c r="G90"/>
  <c r="L90" s="1"/>
  <c r="G26"/>
  <c r="L26" s="1"/>
  <c r="G82"/>
  <c r="L82" s="1"/>
  <c r="G81"/>
  <c r="L81" s="1"/>
  <c r="G36"/>
  <c r="L36" s="1"/>
  <c r="G37"/>
  <c r="L37" s="1"/>
  <c r="G38"/>
  <c r="L38" s="1"/>
  <c r="G39"/>
  <c r="L39" s="1"/>
  <c r="G40"/>
  <c r="L40" s="1"/>
  <c r="G41"/>
  <c r="G42"/>
  <c r="L42" s="1"/>
  <c r="G35"/>
  <c r="L35" s="1"/>
  <c r="G19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<sst xmlns="http://schemas.openxmlformats.org/spreadsheetml/2006/main" count="729" uniqueCount="381">
  <si>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</si>
  <si>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</si>
  <si>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</si>
  <si>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</si>
  <si>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</si>
  <si>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</si>
  <si>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</si>
  <si>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</si>
  <si>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</si>
  <si>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</si>
  <si>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</si>
  <si>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</si>
  <si>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</si>
  <si>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</si>
  <si>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</si>
  <si>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</si>
  <si>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</si>
  <si>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</si>
  <si>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</si>
  <si>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</si>
  <si>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</si>
  <si>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</si>
  <si>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</si>
  <si>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</si>
  <si>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</si>
  <si>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</si>
  <si>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</si>
  <si>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</si>
  <si>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</si>
  <si>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</si>
  <si>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</si>
  <si>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</si>
  <si>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</si>
  <si>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</si>
  <si>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</si>
  <si>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</si>
  <si>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</si>
  <si>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</si>
  <si>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</si>
  <si>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</si>
  <si>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</si>
  <si>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</si>
  <si>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</si>
  <si>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</si>
  <si>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</si>
  <si>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</si>
  <si>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</si>
  <si>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</si>
  <si>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</si>
  <si>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</si>
  <si>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</si>
  <si>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</si>
  <si>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</si>
  <si>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</si>
  <si>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</si>
  <si>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</si>
  <si>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</si>
  <si>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</si>
  <si>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</si>
  <si>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</si>
  <si>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</si>
  <si>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</si>
  <si>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</si>
  <si>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</si>
  <si>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</si>
  <si>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</si>
  <si>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</si>
  <si>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</si>
  <si>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</si>
  <si>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</si>
  <si>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</si>
  <si>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</si>
  <si>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</si>
  <si>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</si>
  <si>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</si>
  <si>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</si>
  <si>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</si>
  <si>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</si>
  <si>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</si>
  <si>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</si>
  <si>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</si>
  <si>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</si>
  <si>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</si>
  <si>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</si>
  <si>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</si>
  <si>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</si>
  <si>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</si>
  <si>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</si>
  <si>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</si>
  <si>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</si>
  <si>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</si>
  <si>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</si>
  <si>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</si>
  <si>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</si>
  <si>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</si>
  <si>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</si>
  <si>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</si>
  <si>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</si>
  <si>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</si>
  <si>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</si>
  <si>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</si>
  <si>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</si>
  <si>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</si>
  <si>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</si>
  <si>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</si>
  <si>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</si>
  <si>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</si>
  <si>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</si>
  <si>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</si>
  <si>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</si>
  <si>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</si>
  <si>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</si>
  <si>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</si>
  <si>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</si>
  <si>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</si>
  <si>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</si>
  <si>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</si>
  <si>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</si>
  <si>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</si>
  <si>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</si>
  <si>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</si>
  <si>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</si>
  <si>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</si>
  <si>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</si>
  <si>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</si>
  <si>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</si>
  <si>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</si>
  <si>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</si>
  <si>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</si>
  <si>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</si>
  <si>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</si>
  <si>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</si>
  <si>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</si>
  <si>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</si>
  <si>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</si>
  <si>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</si>
  <si>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</si>
  <si>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</si>
  <si>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</si>
  <si>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50 or 53</t>
  </si>
  <si>
    <t>50 or 39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</si>
  <si>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</si>
  <si>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</si>
  <si>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</si>
  <si>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</si>
  <si>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</si>
  <si>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</si>
  <si>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</si>
  <si>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</si>
  <si>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</si>
  <si>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</si>
  <si>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</si>
  <si>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</si>
  <si>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</si>
  <si>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</si>
  <si>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</si>
  <si>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</si>
  <si>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</si>
  <si>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</si>
  <si>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</si>
  <si>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</si>
  <si>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</si>
  <si>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</si>
  <si>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</si>
  <si>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</si>
  <si>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</si>
  <si>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</si>
  <si>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</si>
  <si>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</si>
  <si>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</si>
  <si>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</si>
  <si>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</si>
  <si>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</si>
  <si>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</si>
  <si>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</si>
  <si>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</si>
  <si>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</si>
  <si>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</si>
  <si>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</si>
  <si>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</si>
  <si>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</si>
  <si>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</si>
  <si>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</si>
  <si>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</si>
  <si>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</si>
  <si>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</si>
  <si>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</si>
  <si>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</si>
  <si>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</si>
  <si>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</si>
  <si>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</si>
  <si>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</si>
  <si>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</si>
  <si>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</si>
  <si>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</si>
  <si>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</si>
  <si>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</si>
  <si>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</si>
  <si>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</si>
  <si>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</si>
  <si>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</si>
  <si>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</si>
  <si>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</si>
  <si>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</si>
  <si>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</si>
  <si>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</si>
  <si>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</si>
  <si>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</si>
  <si>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</si>
  <si>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</si>
  <si>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</si>
  <si>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</si>
  <si>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</si>
  <si>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</si>
  <si>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</si>
  <si>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</si>
  <si>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</si>
  <si>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</si>
  <si>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</si>
  <si>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</si>
  <si>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</si>
  <si>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</si>
  <si>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</si>
  <si>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</si>
  <si>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</si>
  <si>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</si>
  <si>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</si>
  <si>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</si>
  <si>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</si>
  <si>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</si>
  <si>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</si>
  <si>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</si>
  <si>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</si>
  <si>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</si>
  <si>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</si>
  <si>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</si>
  <si>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</si>
  <si>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</si>
  <si>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</si>
  <si>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</si>
  <si>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</si>
  <si>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</si>
  <si>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</si>
  <si>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</si>
  <si>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</si>
  <si>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</si>
  <si>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</si>
  <si>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</si>
  <si>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</si>
  <si>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</si>
  <si>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</si>
  <si>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</si>
  <si>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</si>
  <si>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</si>
  <si>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</si>
  <si>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</si>
  <si>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</si>
  <si>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</si>
  <si>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</si>
  <si>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</si>
  <si>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</si>
  <si>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</si>
  <si>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</si>
  <si>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</si>
  <si>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</si>
  <si>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</si>
  <si>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</si>
  <si>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</si>
  <si>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</si>
  <si>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</si>
  <si>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</si>
  <si>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</si>
  <si>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</si>
  <si>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</si>
  <si>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</si>
  <si>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</si>
  <si>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</si>
  <si>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</si>
  <si>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</si>
  <si>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</si>
  <si>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</si>
  <si>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</si>
  <si>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</si>
  <si>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</si>
  <si>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</si>
  <si>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</si>
  <si>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</si>
  <si>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</si>
  <si>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</si>
  <si>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</si>
  <si>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</si>
  <si>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</si>
  <si>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</si>
  <si>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</si>
  <si>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</si>
  <si>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</si>
  <si>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</si>
  <si>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</si>
  <si>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</si>
  <si>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</si>
  <si>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</si>
  <si>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</si>
  <si>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</si>
  <si>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</si>
  <si>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</si>
  <si>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</si>
  <si>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</si>
  <si>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</si>
  <si>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</si>
  <si>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</si>
  <si>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</si>
  <si>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</si>
  <si>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</si>
  <si>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</si>
  <si>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</si>
  <si>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</si>
  <si>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</si>
  <si>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</si>
  <si>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</si>
  <si>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</si>
  <si>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</si>
  <si>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</si>
  <si>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</si>
  <si>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</si>
  <si>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</si>
  <si>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</si>
  <si>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</si>
  <si>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</si>
  <si>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</si>
  <si>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</si>
  <si>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</si>
  <si>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</si>
  <si>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</si>
  <si>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</si>
  <si>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</si>
  <si>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</si>
  <si>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</si>
  <si>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</si>
  <si>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</si>
  <si>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</si>
  <si>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</si>
  <si>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</si>
  <si>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</si>
  <si>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</si>
  <si>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</si>
  <si>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</si>
  <si>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</si>
  <si>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</si>
  <si>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</si>
  <si>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</si>
  <si>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</si>
  <si>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</si>
  <si>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</si>
  <si>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</si>
  <si>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</si>
  <si>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</si>
  <si>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</si>
  <si>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</si>
  <si>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</si>
  <si>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</si>
  <si>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</si>
  <si>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</si>
  <si>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</si>
  <si>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</si>
  <si>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</si>
  <si>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</si>
  <si>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</si>
  <si>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</si>
  <si>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</si>
  <si>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30 or 23</t>
  </si>
  <si>
    <t>MCI</t>
  </si>
  <si>
    <t>Male</t>
  </si>
  <si>
    <t>Right</t>
  </si>
  <si>
    <t>patient was tested in his own home</t>
  </si>
  <si>
    <t>Right handed</t>
  </si>
  <si>
    <t>Not depressed</t>
  </si>
  <si>
    <t>Average = 18.05 ± 4.81</t>
  </si>
  <si>
    <t>average based on norms for age 55+ and education 12-15 years</t>
  </si>
  <si>
    <t>lots points on Trails, naming, forward digit span, serial subtraction, and delayed recall</t>
  </si>
  <si>
    <t>&lt;5th percentile</t>
  </si>
  <si>
    <t>four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</si>
</sst>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abSelected="1" topLeftCell="A46" workbookViewId="0">
      <selection activeCell="E74" sqref="E74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356</v>
      </c>
      <c r="B1" s="7">
        <v>11976</v>
      </c>
    </row>
    <row r="2" spans="1:12" s="4" customFormat="1">
      <c r="A2" s="3" t="s">
        <v>357</v>
      </c>
      <c r="B2" s="5" t="s">
        <v>370</v>
      </c>
    </row>
    <row r="3" spans="1:12" s="4" customFormat="1">
      <c r="A3" s="3" t="s">
        <v>358</v>
      </c>
      <c r="B3" s="7">
        <v>19260605</v>
      </c>
    </row>
    <row r="4" spans="1:12" s="4" customFormat="1">
      <c r="A4" s="3" t="s">
        <v>359</v>
      </c>
      <c r="B4" s="7">
        <v>88</v>
      </c>
    </row>
    <row r="5" spans="1:12" s="4" customFormat="1">
      <c r="A5" s="3" t="s">
        <v>360</v>
      </c>
      <c r="B5" s="5" t="s">
        <v>371</v>
      </c>
    </row>
    <row r="6" spans="1:12" s="4" customFormat="1">
      <c r="A6" s="3" t="s">
        <v>361</v>
      </c>
      <c r="B6" s="5" t="s">
        <v>372</v>
      </c>
    </row>
    <row r="7" spans="1:12" s="4" customFormat="1">
      <c r="A7" s="3" t="s">
        <v>362</v>
      </c>
      <c r="B7" s="7">
        <v>12</v>
      </c>
    </row>
    <row r="8" spans="1:12" s="4" customFormat="1">
      <c r="A8" s="3" t="s">
        <v>363</v>
      </c>
      <c r="B8" s="5">
        <v>20140821</v>
      </c>
    </row>
    <row r="9" spans="1:12" s="4" customFormat="1">
      <c r="A9" s="3" t="s">
        <v>364</v>
      </c>
      <c r="B9" s="8" t="s">
        <v>373</v>
      </c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244</v>
      </c>
      <c r="G11" s="3" t="s">
        <v>129</v>
      </c>
      <c r="H11" s="3" t="s">
        <v>368</v>
      </c>
      <c r="I11" s="1" t="s">
        <v>4</v>
      </c>
      <c r="J11" s="1" t="s">
        <v>5</v>
      </c>
      <c r="K11" s="1" t="s">
        <v>6</v>
      </c>
      <c r="L11" s="3" t="s">
        <v>365</v>
      </c>
    </row>
    <row r="12" spans="1:12" s="4" customFormat="1">
      <c r="A12" s="4" t="s">
        <v>29</v>
      </c>
      <c r="B12" s="4" t="s">
        <v>8</v>
      </c>
      <c r="C12" s="4" t="s">
        <v>245</v>
      </c>
      <c r="D12" s="2" t="s">
        <v>366</v>
      </c>
      <c r="E12" s="4">
        <v>100</v>
      </c>
      <c r="F12" s="4">
        <v>100</v>
      </c>
      <c r="J12" s="2" t="s">
        <v>246</v>
      </c>
      <c r="K12" s="2" t="s">
        <v>374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366</v>
      </c>
      <c r="E13" s="2">
        <v>1</v>
      </c>
      <c r="F13" s="2">
        <v>15</v>
      </c>
      <c r="I13" s="2"/>
      <c r="J13" t="s">
        <v>9</v>
      </c>
      <c r="K13" s="2" t="s">
        <v>375</v>
      </c>
      <c r="L13">
        <f>E13</f>
        <v>1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26</v>
      </c>
      <c r="I14" s="2">
        <v>8</v>
      </c>
      <c r="J14" s="2" t="s">
        <v>14</v>
      </c>
      <c r="K14" s="2"/>
      <c r="L14">
        <f>I14</f>
        <v>8</v>
      </c>
    </row>
    <row r="15" spans="1:12">
      <c r="A15" t="s">
        <v>15</v>
      </c>
      <c r="B15" t="s">
        <v>11</v>
      </c>
      <c r="C15" t="s">
        <v>16</v>
      </c>
      <c r="D15" s="2" t="s">
        <v>366</v>
      </c>
      <c r="E15" s="2">
        <v>16</v>
      </c>
      <c r="I15" s="2"/>
      <c r="J15" s="2" t="s">
        <v>376</v>
      </c>
      <c r="K15" s="2" t="s">
        <v>377</v>
      </c>
      <c r="L15">
        <f>E15</f>
        <v>16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F16" s="2">
        <v>48</v>
      </c>
      <c r="J16" s="4" t="s">
        <v>14</v>
      </c>
      <c r="K16" s="2"/>
      <c r="L16">
        <f>I16</f>
        <v>0</v>
      </c>
    </row>
    <row r="17" spans="1:12">
      <c r="A17" t="s">
        <v>21</v>
      </c>
      <c r="B17" t="s">
        <v>11</v>
      </c>
      <c r="C17" t="s">
        <v>22</v>
      </c>
      <c r="E17" s="2">
        <v>49</v>
      </c>
      <c r="F17" s="2">
        <v>60</v>
      </c>
      <c r="I17" s="2">
        <v>7</v>
      </c>
      <c r="J17" s="4" t="s">
        <v>14</v>
      </c>
      <c r="K17" s="2"/>
      <c r="L17" s="2">
        <f>I17</f>
        <v>7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27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5</v>
      </c>
      <c r="F20" s="2">
        <v>5</v>
      </c>
      <c r="G20" s="2">
        <f t="shared" si="1"/>
        <v>100</v>
      </c>
      <c r="I20" s="2"/>
      <c r="K20" s="2"/>
      <c r="L20">
        <f t="shared" si="0"/>
        <v>100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3</v>
      </c>
      <c r="F22" s="2">
        <v>5</v>
      </c>
      <c r="G22" s="2">
        <f t="shared" si="1"/>
        <v>60</v>
      </c>
      <c r="I22" s="2"/>
      <c r="K22" s="2"/>
      <c r="L22">
        <f t="shared" si="0"/>
        <v>60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10</v>
      </c>
      <c r="F24" s="2">
        <v>10</v>
      </c>
      <c r="G24" s="2">
        <f t="shared" si="1"/>
        <v>100</v>
      </c>
      <c r="I24" s="2"/>
      <c r="J24" t="s">
        <v>40</v>
      </c>
      <c r="K24" s="2"/>
      <c r="L24">
        <f t="shared" si="0"/>
        <v>100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5</v>
      </c>
      <c r="F25" s="2">
        <v>7</v>
      </c>
      <c r="G25" s="2">
        <f t="shared" si="1"/>
        <v>71.428571428571431</v>
      </c>
      <c r="I25" s="2"/>
      <c r="J25" t="s">
        <v>41</v>
      </c>
      <c r="K25" s="2"/>
      <c r="L25">
        <f t="shared" si="0"/>
        <v>71.428571428571431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248</v>
      </c>
      <c r="E26" s="2">
        <v>20</v>
      </c>
      <c r="F26" s="2">
        <v>22</v>
      </c>
      <c r="G26" s="2">
        <f t="shared" si="1"/>
        <v>90.909090909090907</v>
      </c>
      <c r="L26" s="2">
        <f t="shared" si="0"/>
        <v>90.909090909090907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/>
      <c r="F27" s="2">
        <v>12</v>
      </c>
      <c r="G27" s="2">
        <f t="shared" si="1"/>
        <v>0</v>
      </c>
      <c r="I27" s="2"/>
      <c r="L27">
        <f>E27</f>
        <v>0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/>
      <c r="F28" s="2">
        <v>12</v>
      </c>
      <c r="I28" s="2"/>
      <c r="K28" s="2"/>
      <c r="L28">
        <f>E28</f>
        <v>0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/>
      <c r="F29" s="2">
        <v>24</v>
      </c>
      <c r="I29" s="2"/>
      <c r="J29" s="4" t="s">
        <v>14</v>
      </c>
      <c r="K29" s="2"/>
      <c r="L29">
        <f>I29</f>
        <v>0</v>
      </c>
    </row>
    <row r="30" spans="1:12">
      <c r="A30" s="2" t="s">
        <v>240</v>
      </c>
      <c r="B30" s="2" t="s">
        <v>18</v>
      </c>
      <c r="C30" s="2" t="s">
        <v>19</v>
      </c>
      <c r="D30" t="s">
        <v>49</v>
      </c>
      <c r="E30" s="2"/>
      <c r="F30" s="2">
        <v>36</v>
      </c>
      <c r="I30" s="2"/>
      <c r="J30" s="2" t="s">
        <v>14</v>
      </c>
      <c r="K30" s="2"/>
      <c r="L30">
        <f>I30</f>
        <v>0</v>
      </c>
    </row>
    <row r="31" spans="1:12" s="2" customFormat="1">
      <c r="A31" s="2" t="s">
        <v>241</v>
      </c>
      <c r="B31" s="2" t="s">
        <v>18</v>
      </c>
      <c r="C31" s="2" t="s">
        <v>19</v>
      </c>
      <c r="D31" s="2" t="s">
        <v>242</v>
      </c>
      <c r="F31" s="2">
        <v>12</v>
      </c>
      <c r="L31" s="2">
        <f>E31</f>
        <v>0</v>
      </c>
    </row>
    <row r="32" spans="1:12">
      <c r="A32" s="2" t="s">
        <v>247</v>
      </c>
      <c r="B32" s="2" t="s">
        <v>8</v>
      </c>
      <c r="C32" s="2" t="s">
        <v>51</v>
      </c>
      <c r="E32" s="2">
        <v>21</v>
      </c>
      <c r="F32" s="2">
        <v>30</v>
      </c>
      <c r="I32" s="2"/>
      <c r="J32" s="2" t="s">
        <v>52</v>
      </c>
      <c r="K32" s="2" t="s">
        <v>378</v>
      </c>
      <c r="L32">
        <f>E32</f>
        <v>21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10</v>
      </c>
      <c r="F33" s="2">
        <v>10</v>
      </c>
      <c r="G33" s="2">
        <f t="shared" ref="G33:G34" si="2">E33/F33*100</f>
        <v>100</v>
      </c>
      <c r="I33" s="2"/>
      <c r="K33" s="2"/>
      <c r="L33">
        <f t="shared" ref="L33:L43" si="3">G33</f>
        <v>100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3</v>
      </c>
      <c r="F36" s="2">
        <v>5</v>
      </c>
      <c r="G36" s="2">
        <f t="shared" ref="G36:G45" si="4">E36/F36*100</f>
        <v>60</v>
      </c>
      <c r="I36" s="2"/>
      <c r="J36" s="2" t="s">
        <v>39</v>
      </c>
      <c r="K36" s="2"/>
      <c r="L36">
        <f t="shared" si="3"/>
        <v>60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1</v>
      </c>
      <c r="F37" s="2">
        <v>5</v>
      </c>
      <c r="G37" s="2">
        <f t="shared" si="4"/>
        <v>20</v>
      </c>
      <c r="I37" s="2"/>
      <c r="J37" s="2" t="s">
        <v>39</v>
      </c>
      <c r="K37" s="2"/>
      <c r="L37">
        <f t="shared" si="3"/>
        <v>20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0</v>
      </c>
      <c r="F38" s="2">
        <v>5</v>
      </c>
      <c r="G38" s="2">
        <f t="shared" si="4"/>
        <v>0</v>
      </c>
      <c r="I38" s="2"/>
      <c r="J38" s="2" t="s">
        <v>39</v>
      </c>
      <c r="K38" s="2"/>
      <c r="L38">
        <f t="shared" si="3"/>
        <v>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4</v>
      </c>
      <c r="F39" s="2">
        <v>5</v>
      </c>
      <c r="G39" s="2">
        <f t="shared" si="4"/>
        <v>80</v>
      </c>
      <c r="I39" s="2"/>
      <c r="J39" s="2" t="s">
        <v>77</v>
      </c>
      <c r="K39" s="2"/>
      <c r="L39">
        <f t="shared" si="3"/>
        <v>80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10</v>
      </c>
      <c r="F41" s="2">
        <v>15</v>
      </c>
      <c r="G41" s="2">
        <f t="shared" si="4"/>
        <v>66.666666666666657</v>
      </c>
      <c r="I41" s="2"/>
      <c r="K41" s="2"/>
      <c r="L41">
        <f t="shared" si="3"/>
        <v>66.666666666666657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3</v>
      </c>
      <c r="F42" s="2">
        <v>15</v>
      </c>
      <c r="G42" s="2">
        <f t="shared" si="4"/>
        <v>20</v>
      </c>
      <c r="I42" s="2"/>
      <c r="K42" s="2"/>
      <c r="L42">
        <f t="shared" si="3"/>
        <v>20</v>
      </c>
    </row>
    <row r="43" spans="1:12" s="2" customFormat="1">
      <c r="A43" s="2" t="s">
        <v>152</v>
      </c>
      <c r="B43" s="2" t="s">
        <v>11</v>
      </c>
      <c r="C43" s="2" t="s">
        <v>61</v>
      </c>
      <c r="D43" s="2" t="s">
        <v>248</v>
      </c>
      <c r="E43" s="2">
        <v>13</v>
      </c>
      <c r="F43" s="2">
        <v>30</v>
      </c>
      <c r="G43" s="2">
        <f t="shared" si="4"/>
        <v>43.333333333333336</v>
      </c>
      <c r="L43" s="2">
        <f t="shared" si="3"/>
        <v>43.333333333333336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14</v>
      </c>
      <c r="F44" s="2">
        <v>20</v>
      </c>
      <c r="H44">
        <v>67</v>
      </c>
      <c r="I44" s="2"/>
      <c r="J44" s="4"/>
      <c r="K44" s="2"/>
      <c r="L44">
        <f>I44</f>
        <v>0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3</v>
      </c>
      <c r="F45" s="2">
        <v>20</v>
      </c>
      <c r="H45">
        <v>16</v>
      </c>
      <c r="I45" s="2">
        <v>5</v>
      </c>
      <c r="J45" s="4" t="s">
        <v>14</v>
      </c>
      <c r="K45" s="2"/>
      <c r="L45">
        <f>I45</f>
        <v>5</v>
      </c>
    </row>
    <row r="46" spans="1:12">
      <c r="A46" s="2" t="s">
        <v>84</v>
      </c>
      <c r="B46" s="2" t="s">
        <v>18</v>
      </c>
      <c r="C46" s="2" t="s">
        <v>85</v>
      </c>
      <c r="E46" s="2">
        <v>25</v>
      </c>
      <c r="F46" s="2">
        <v>50</v>
      </c>
      <c r="I46" s="2"/>
      <c r="J46" s="4" t="s">
        <v>17</v>
      </c>
      <c r="K46" s="2" t="s">
        <v>379</v>
      </c>
      <c r="L46">
        <f>E46</f>
        <v>25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133</v>
      </c>
      <c r="I47" s="2">
        <v>1</v>
      </c>
      <c r="J47" s="4" t="s">
        <v>14</v>
      </c>
      <c r="K47" s="2"/>
      <c r="L47">
        <f>I47</f>
        <v>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290</v>
      </c>
      <c r="I48" s="2">
        <v>1</v>
      </c>
      <c r="J48" s="4" t="s">
        <v>14</v>
      </c>
      <c r="K48" s="2" t="s">
        <v>380</v>
      </c>
      <c r="L48" s="2">
        <f>I48</f>
        <v>1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0</v>
      </c>
      <c r="F49" s="2">
        <v>20</v>
      </c>
      <c r="I49" s="2">
        <v>0</v>
      </c>
      <c r="J49" s="4" t="s">
        <v>14</v>
      </c>
      <c r="K49" s="2"/>
      <c r="L49">
        <f>I49</f>
        <v>0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1</v>
      </c>
      <c r="F50" s="2">
        <v>5</v>
      </c>
      <c r="G50" s="2">
        <f>E50/F50*100</f>
        <v>20</v>
      </c>
      <c r="I50" s="2"/>
      <c r="K50" s="2"/>
      <c r="L50">
        <f>G50</f>
        <v>20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0</v>
      </c>
      <c r="F51" s="2">
        <v>5</v>
      </c>
      <c r="G51" s="2">
        <f>E51/F51*100</f>
        <v>0</v>
      </c>
      <c r="I51" s="2"/>
      <c r="K51" s="2"/>
      <c r="L51">
        <f>G51</f>
        <v>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</v>
      </c>
      <c r="F52" s="2">
        <v>10</v>
      </c>
      <c r="I52" s="2">
        <v>4</v>
      </c>
      <c r="J52" s="2" t="s">
        <v>14</v>
      </c>
      <c r="K52" s="2"/>
      <c r="L52">
        <f>I52</f>
        <v>4</v>
      </c>
    </row>
    <row r="53" spans="1:12" s="2" customFormat="1">
      <c r="A53" s="6" t="s">
        <v>249</v>
      </c>
      <c r="B53" s="6" t="s">
        <v>101</v>
      </c>
      <c r="C53" s="6" t="s">
        <v>252</v>
      </c>
      <c r="D53" s="2" t="s">
        <v>253</v>
      </c>
      <c r="E53" s="2">
        <v>19</v>
      </c>
      <c r="F53" s="2">
        <v>20</v>
      </c>
      <c r="G53" s="2">
        <f t="shared" ref="G53:G55" si="5">E53/F53*100</f>
        <v>95</v>
      </c>
      <c r="L53" s="2">
        <f t="shared" ref="L53:L85" si="6">G53</f>
        <v>95</v>
      </c>
    </row>
    <row r="54" spans="1:12" s="2" customFormat="1">
      <c r="A54" s="6" t="s">
        <v>250</v>
      </c>
      <c r="B54" s="6" t="s">
        <v>101</v>
      </c>
      <c r="C54" s="6" t="s">
        <v>252</v>
      </c>
      <c r="D54" s="2" t="s">
        <v>254</v>
      </c>
      <c r="E54" s="2">
        <v>18</v>
      </c>
      <c r="F54" s="2">
        <v>20</v>
      </c>
      <c r="G54" s="2">
        <f t="shared" si="5"/>
        <v>90</v>
      </c>
      <c r="L54" s="2">
        <f t="shared" si="6"/>
        <v>90</v>
      </c>
    </row>
    <row r="55" spans="1:12">
      <c r="A55" s="6" t="s">
        <v>251</v>
      </c>
      <c r="B55" s="6" t="s">
        <v>101</v>
      </c>
      <c r="C55" s="6" t="s">
        <v>252</v>
      </c>
      <c r="D55" s="2" t="s">
        <v>248</v>
      </c>
      <c r="E55" s="2">
        <v>37</v>
      </c>
      <c r="F55" s="2">
        <v>40</v>
      </c>
      <c r="G55" s="2">
        <f t="shared" si="5"/>
        <v>92.5</v>
      </c>
      <c r="I55" s="2"/>
      <c r="K55" s="2"/>
      <c r="L55">
        <f t="shared" si="6"/>
        <v>92.5</v>
      </c>
    </row>
    <row r="56" spans="1:12" s="2" customFormat="1">
      <c r="A56" s="6" t="s">
        <v>281</v>
      </c>
      <c r="B56" s="6" t="s">
        <v>101</v>
      </c>
      <c r="C56" s="6" t="s">
        <v>102</v>
      </c>
      <c r="D56" s="6" t="s">
        <v>290</v>
      </c>
      <c r="E56" s="2">
        <v>5</v>
      </c>
      <c r="F56" s="2">
        <v>5</v>
      </c>
      <c r="G56" s="2">
        <f t="shared" ref="G56:G80" si="7">E56/F56*100</f>
        <v>100</v>
      </c>
      <c r="L56" s="2">
        <f t="shared" si="6"/>
        <v>100</v>
      </c>
    </row>
    <row r="57" spans="1:12" s="2" customFormat="1">
      <c r="A57" s="6" t="s">
        <v>282</v>
      </c>
      <c r="B57" s="6" t="s">
        <v>101</v>
      </c>
      <c r="C57" s="6" t="s">
        <v>102</v>
      </c>
      <c r="D57" s="6" t="s">
        <v>291</v>
      </c>
      <c r="E57" s="2">
        <v>5</v>
      </c>
      <c r="F57" s="2">
        <v>5</v>
      </c>
      <c r="G57" s="2">
        <f t="shared" si="7"/>
        <v>100</v>
      </c>
      <c r="L57" s="2">
        <f t="shared" si="6"/>
        <v>100</v>
      </c>
    </row>
    <row r="58" spans="1:12" s="2" customFormat="1">
      <c r="A58" s="6" t="s">
        <v>283</v>
      </c>
      <c r="B58" s="6" t="s">
        <v>101</v>
      </c>
      <c r="C58" s="6" t="s">
        <v>102</v>
      </c>
      <c r="D58" s="6" t="s">
        <v>292</v>
      </c>
      <c r="E58" s="2">
        <v>5</v>
      </c>
      <c r="F58" s="2">
        <v>5</v>
      </c>
      <c r="G58" s="2">
        <f t="shared" si="7"/>
        <v>100</v>
      </c>
      <c r="L58" s="2">
        <f t="shared" si="6"/>
        <v>100</v>
      </c>
    </row>
    <row r="59" spans="1:12" s="2" customFormat="1">
      <c r="A59" s="6" t="s">
        <v>284</v>
      </c>
      <c r="B59" s="6" t="s">
        <v>101</v>
      </c>
      <c r="C59" s="6" t="s">
        <v>102</v>
      </c>
      <c r="D59" s="6" t="s">
        <v>293</v>
      </c>
      <c r="E59" s="2">
        <v>5</v>
      </c>
      <c r="F59" s="2">
        <v>5</v>
      </c>
      <c r="G59" s="2">
        <f t="shared" si="7"/>
        <v>100</v>
      </c>
      <c r="L59" s="2">
        <f t="shared" si="6"/>
        <v>100</v>
      </c>
    </row>
    <row r="60" spans="1:12" s="2" customFormat="1">
      <c r="A60" s="6" t="s">
        <v>285</v>
      </c>
      <c r="B60" s="6" t="s">
        <v>101</v>
      </c>
      <c r="C60" s="6" t="s">
        <v>102</v>
      </c>
      <c r="D60" s="6" t="s">
        <v>294</v>
      </c>
      <c r="E60" s="2">
        <v>4</v>
      </c>
      <c r="F60" s="2">
        <v>5</v>
      </c>
      <c r="G60" s="2">
        <f t="shared" si="7"/>
        <v>80</v>
      </c>
      <c r="L60" s="2">
        <f t="shared" si="6"/>
        <v>80</v>
      </c>
    </row>
    <row r="61" spans="1:12" s="2" customFormat="1">
      <c r="A61" s="6" t="s">
        <v>286</v>
      </c>
      <c r="B61" s="6" t="s">
        <v>101</v>
      </c>
      <c r="C61" s="6" t="s">
        <v>102</v>
      </c>
      <c r="D61" s="6" t="s">
        <v>295</v>
      </c>
      <c r="E61" s="2">
        <v>4</v>
      </c>
      <c r="F61" s="2">
        <v>5</v>
      </c>
      <c r="G61" s="2">
        <f t="shared" si="7"/>
        <v>80</v>
      </c>
      <c r="L61" s="2">
        <f t="shared" si="6"/>
        <v>80</v>
      </c>
    </row>
    <row r="62" spans="1:12" s="2" customFormat="1">
      <c r="A62" s="6" t="s">
        <v>287</v>
      </c>
      <c r="B62" s="6" t="s">
        <v>101</v>
      </c>
      <c r="C62" s="6" t="s">
        <v>102</v>
      </c>
      <c r="D62" s="6" t="s">
        <v>296</v>
      </c>
      <c r="E62" s="2">
        <v>3</v>
      </c>
      <c r="F62" s="2">
        <v>5</v>
      </c>
      <c r="G62" s="2">
        <f t="shared" si="7"/>
        <v>60</v>
      </c>
      <c r="L62" s="2">
        <f t="shared" si="6"/>
        <v>60</v>
      </c>
    </row>
    <row r="63" spans="1:12" s="2" customFormat="1">
      <c r="A63" s="6" t="s">
        <v>288</v>
      </c>
      <c r="B63" s="6" t="s">
        <v>101</v>
      </c>
      <c r="C63" s="6" t="s">
        <v>102</v>
      </c>
      <c r="D63" s="6" t="s">
        <v>297</v>
      </c>
      <c r="E63" s="2">
        <v>4</v>
      </c>
      <c r="F63" s="2">
        <v>5</v>
      </c>
      <c r="G63" s="2">
        <f t="shared" si="7"/>
        <v>80</v>
      </c>
      <c r="L63" s="2">
        <f t="shared" si="6"/>
        <v>80</v>
      </c>
    </row>
    <row r="64" spans="1:12">
      <c r="A64" s="6" t="s">
        <v>289</v>
      </c>
      <c r="B64" s="6" t="s">
        <v>101</v>
      </c>
      <c r="C64" s="6" t="s">
        <v>102</v>
      </c>
      <c r="D64" s="6" t="s">
        <v>304</v>
      </c>
      <c r="E64" s="2">
        <v>10</v>
      </c>
      <c r="F64" s="2">
        <v>10</v>
      </c>
      <c r="G64" s="2">
        <f t="shared" si="7"/>
        <v>100</v>
      </c>
      <c r="I64" s="2"/>
      <c r="K64" s="2"/>
      <c r="L64">
        <f t="shared" si="6"/>
        <v>100</v>
      </c>
    </row>
    <row r="65" spans="1:12" s="2" customFormat="1">
      <c r="A65" s="6" t="s">
        <v>298</v>
      </c>
      <c r="B65" s="6" t="s">
        <v>101</v>
      </c>
      <c r="C65" s="6" t="s">
        <v>102</v>
      </c>
      <c r="D65" s="6" t="s">
        <v>305</v>
      </c>
      <c r="E65" s="2">
        <v>10</v>
      </c>
      <c r="F65" s="2">
        <v>10</v>
      </c>
      <c r="G65" s="2">
        <f t="shared" si="7"/>
        <v>100</v>
      </c>
      <c r="L65" s="2">
        <f t="shared" si="6"/>
        <v>100</v>
      </c>
    </row>
    <row r="66" spans="1:12" s="2" customFormat="1">
      <c r="A66" s="6" t="s">
        <v>299</v>
      </c>
      <c r="B66" s="6" t="s">
        <v>101</v>
      </c>
      <c r="C66" s="6" t="s">
        <v>102</v>
      </c>
      <c r="D66" s="6" t="s">
        <v>306</v>
      </c>
      <c r="E66" s="2">
        <v>8</v>
      </c>
      <c r="F66" s="2">
        <v>10</v>
      </c>
      <c r="G66" s="2">
        <f t="shared" si="7"/>
        <v>80</v>
      </c>
      <c r="L66" s="2">
        <f t="shared" si="6"/>
        <v>80</v>
      </c>
    </row>
    <row r="67" spans="1:12" s="2" customFormat="1">
      <c r="A67" s="6" t="s">
        <v>300</v>
      </c>
      <c r="B67" s="6" t="s">
        <v>101</v>
      </c>
      <c r="C67" s="6" t="s">
        <v>102</v>
      </c>
      <c r="D67" s="6" t="s">
        <v>307</v>
      </c>
      <c r="E67" s="2">
        <v>7</v>
      </c>
      <c r="F67" s="2">
        <v>10</v>
      </c>
      <c r="G67" s="2">
        <f t="shared" si="7"/>
        <v>70</v>
      </c>
      <c r="L67" s="2">
        <f t="shared" si="6"/>
        <v>70</v>
      </c>
    </row>
    <row r="68" spans="1:12" s="2" customFormat="1">
      <c r="A68" s="6" t="s">
        <v>301</v>
      </c>
      <c r="B68" s="6" t="s">
        <v>101</v>
      </c>
      <c r="C68" s="6" t="s">
        <v>102</v>
      </c>
      <c r="D68" s="6" t="s">
        <v>308</v>
      </c>
      <c r="E68" s="2">
        <v>17</v>
      </c>
      <c r="F68" s="2">
        <v>20</v>
      </c>
      <c r="G68" s="2">
        <f t="shared" si="7"/>
        <v>85</v>
      </c>
      <c r="L68" s="2">
        <f t="shared" si="6"/>
        <v>85</v>
      </c>
    </row>
    <row r="69" spans="1:12" s="2" customFormat="1">
      <c r="A69" s="6" t="s">
        <v>302</v>
      </c>
      <c r="B69" s="6" t="s">
        <v>101</v>
      </c>
      <c r="C69" s="6" t="s">
        <v>102</v>
      </c>
      <c r="D69" s="6" t="s">
        <v>309</v>
      </c>
      <c r="E69" s="2">
        <v>18</v>
      </c>
      <c r="F69" s="2">
        <v>20</v>
      </c>
      <c r="G69" s="2">
        <f t="shared" si="7"/>
        <v>90</v>
      </c>
      <c r="L69" s="2">
        <f t="shared" si="6"/>
        <v>90</v>
      </c>
    </row>
    <row r="70" spans="1:12" s="2" customFormat="1">
      <c r="A70" s="6" t="s">
        <v>303</v>
      </c>
      <c r="B70" s="6" t="s">
        <v>101</v>
      </c>
      <c r="C70" s="6" t="s">
        <v>102</v>
      </c>
      <c r="D70" s="6" t="s">
        <v>248</v>
      </c>
      <c r="E70" s="2">
        <v>35</v>
      </c>
      <c r="F70" s="2">
        <v>40</v>
      </c>
      <c r="G70" s="2">
        <f t="shared" si="7"/>
        <v>87.5</v>
      </c>
      <c r="L70" s="2">
        <f t="shared" si="6"/>
        <v>87.5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30</v>
      </c>
      <c r="F71" s="2">
        <v>30</v>
      </c>
      <c r="G71" s="2">
        <f t="shared" si="7"/>
        <v>100</v>
      </c>
      <c r="I71" s="2"/>
      <c r="K71" s="2"/>
      <c r="L71">
        <f t="shared" si="6"/>
        <v>100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25</v>
      </c>
      <c r="F72" s="2">
        <v>30</v>
      </c>
      <c r="G72" s="2">
        <f t="shared" si="7"/>
        <v>83.333333333333343</v>
      </c>
      <c r="I72" s="2"/>
      <c r="K72" s="2"/>
      <c r="L72">
        <f t="shared" si="6"/>
        <v>83.333333333333343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55</v>
      </c>
      <c r="F73" s="2">
        <v>60</v>
      </c>
      <c r="G73" s="2">
        <f t="shared" si="7"/>
        <v>91.666666666666657</v>
      </c>
      <c r="I73" s="2"/>
      <c r="K73" s="2"/>
      <c r="L73">
        <f t="shared" si="6"/>
        <v>91.666666666666657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>
        <f t="shared" si="6"/>
        <v>0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>
        <f t="shared" si="6"/>
        <v>0</v>
      </c>
    </row>
    <row r="76" spans="1:12">
      <c r="A76" s="2" t="s">
        <v>113</v>
      </c>
      <c r="B76" s="2" t="s">
        <v>11</v>
      </c>
      <c r="C76" s="2" t="s">
        <v>110</v>
      </c>
      <c r="D76" s="2" t="s">
        <v>248</v>
      </c>
      <c r="E76" s="2"/>
      <c r="F76" s="2">
        <v>10</v>
      </c>
      <c r="G76" s="2">
        <f t="shared" si="7"/>
        <v>0</v>
      </c>
      <c r="I76" s="2"/>
      <c r="K76" s="2"/>
      <c r="L76">
        <f t="shared" si="6"/>
        <v>0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/>
      <c r="F77" s="2">
        <v>10</v>
      </c>
      <c r="G77" s="2">
        <f t="shared" si="7"/>
        <v>0</v>
      </c>
      <c r="I77" s="2"/>
      <c r="K77" s="2"/>
      <c r="L77">
        <f t="shared" si="6"/>
        <v>0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/>
      <c r="F78" s="2">
        <v>10</v>
      </c>
      <c r="G78" s="2">
        <f t="shared" si="7"/>
        <v>0</v>
      </c>
      <c r="I78" s="2"/>
      <c r="K78" s="2"/>
      <c r="L78">
        <f t="shared" si="6"/>
        <v>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/>
      <c r="F79" s="2">
        <v>10</v>
      </c>
      <c r="G79" s="2">
        <f t="shared" si="7"/>
        <v>0</v>
      </c>
      <c r="I79" s="2"/>
      <c r="K79" s="2"/>
      <c r="L79">
        <f t="shared" si="6"/>
        <v>0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/>
      <c r="F80" s="2">
        <v>10</v>
      </c>
      <c r="G80" s="2">
        <f t="shared" si="7"/>
        <v>0</v>
      </c>
      <c r="I80" s="2"/>
      <c r="K80" s="2"/>
      <c r="L80" s="2">
        <f t="shared" si="6"/>
        <v>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/>
      <c r="F81" s="2">
        <v>60</v>
      </c>
      <c r="G81" s="2">
        <f>E81/F81*100</f>
        <v>0</v>
      </c>
      <c r="I81" s="2"/>
      <c r="K81" s="2"/>
      <c r="L81">
        <f t="shared" si="6"/>
        <v>0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/>
      <c r="F82" s="2">
        <v>80</v>
      </c>
      <c r="G82" s="2">
        <f>E82/F82*100</f>
        <v>0</v>
      </c>
      <c r="I82" s="2"/>
      <c r="K82" s="2"/>
      <c r="L82">
        <f t="shared" si="6"/>
        <v>0</v>
      </c>
    </row>
    <row r="83" spans="1:12" s="2" customFormat="1">
      <c r="A83" s="2" t="s">
        <v>310</v>
      </c>
      <c r="B83" s="6" t="s">
        <v>55</v>
      </c>
      <c r="C83" s="6" t="s">
        <v>132</v>
      </c>
      <c r="D83" s="6" t="s">
        <v>313</v>
      </c>
      <c r="F83" s="2">
        <v>32</v>
      </c>
      <c r="G83" s="2">
        <f>E83/F83*100</f>
        <v>0</v>
      </c>
      <c r="L83" s="2">
        <f t="shared" si="6"/>
        <v>0</v>
      </c>
    </row>
    <row r="84" spans="1:12" s="2" customFormat="1">
      <c r="A84" s="2" t="s">
        <v>311</v>
      </c>
      <c r="B84" s="6" t="s">
        <v>55</v>
      </c>
      <c r="C84" s="6" t="s">
        <v>132</v>
      </c>
      <c r="D84" s="6" t="s">
        <v>314</v>
      </c>
      <c r="F84" s="2">
        <v>32</v>
      </c>
      <c r="G84" s="2">
        <f>E84/F84*100</f>
        <v>0</v>
      </c>
      <c r="L84" s="2">
        <f t="shared" si="6"/>
        <v>0</v>
      </c>
    </row>
    <row r="85" spans="1:12">
      <c r="A85" s="6" t="s">
        <v>312</v>
      </c>
      <c r="B85" s="6" t="s">
        <v>55</v>
      </c>
      <c r="C85" s="6" t="s">
        <v>132</v>
      </c>
      <c r="D85" s="6" t="s">
        <v>248</v>
      </c>
      <c r="E85" s="2"/>
      <c r="F85" s="2">
        <v>64</v>
      </c>
      <c r="G85" s="2">
        <f>E85/F85*100</f>
        <v>0</v>
      </c>
      <c r="I85" s="2"/>
      <c r="J85" s="2" t="s">
        <v>133</v>
      </c>
      <c r="K85" s="2"/>
      <c r="L85" s="2">
        <f t="shared" si="6"/>
        <v>0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/>
      <c r="F86" s="5" t="s">
        <v>139</v>
      </c>
      <c r="I86" s="2"/>
      <c r="J86" s="4" t="s">
        <v>14</v>
      </c>
      <c r="K86" s="2"/>
      <c r="L86">
        <f>I86</f>
        <v>0</v>
      </c>
    </row>
    <row r="87" spans="1:12">
      <c r="A87" s="2" t="s">
        <v>137</v>
      </c>
      <c r="B87" s="2" t="s">
        <v>55</v>
      </c>
      <c r="C87" s="2" t="s">
        <v>138</v>
      </c>
      <c r="E87" s="2"/>
      <c r="F87" s="2">
        <v>228</v>
      </c>
      <c r="I87" s="2"/>
      <c r="K87" s="2"/>
      <c r="L87">
        <f>I87</f>
        <v>0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/>
      <c r="F88" s="5" t="s">
        <v>140</v>
      </c>
      <c r="I88" s="2"/>
      <c r="J88" s="4" t="s">
        <v>14</v>
      </c>
      <c r="K88" s="2"/>
      <c r="L88">
        <f>I88</f>
        <v>0</v>
      </c>
    </row>
    <row r="89" spans="1:12">
      <c r="A89" s="2" t="s">
        <v>141</v>
      </c>
      <c r="B89" s="2" t="s">
        <v>18</v>
      </c>
      <c r="C89" s="2" t="s">
        <v>135</v>
      </c>
      <c r="D89" s="2" t="s">
        <v>49</v>
      </c>
      <c r="E89" s="2"/>
      <c r="F89" s="5" t="s">
        <v>369</v>
      </c>
      <c r="G89" s="2" t="e">
        <f>E89/F89*100</f>
        <v>#VALUE!</v>
      </c>
      <c r="I89" s="2"/>
      <c r="J89" s="4"/>
      <c r="K89" s="2"/>
      <c r="L89" t="e">
        <f>G89</f>
        <v>#VALUE!</v>
      </c>
    </row>
    <row r="90" spans="1:12">
      <c r="A90" s="2" t="s">
        <v>143</v>
      </c>
      <c r="B90" s="2" t="s">
        <v>11</v>
      </c>
      <c r="C90" s="2" t="s">
        <v>142</v>
      </c>
      <c r="D90" s="2" t="s">
        <v>24</v>
      </c>
      <c r="E90" s="2"/>
      <c r="F90" s="2">
        <v>5</v>
      </c>
      <c r="G90" s="2">
        <f t="shared" ref="G90:G107" si="8">E90/F90*100</f>
        <v>0</v>
      </c>
      <c r="I90" s="2"/>
      <c r="K90" s="2"/>
      <c r="L90">
        <f t="shared" ref="L90:L107" si="9">G90</f>
        <v>0</v>
      </c>
    </row>
    <row r="91" spans="1:12">
      <c r="A91" s="2" t="s">
        <v>144</v>
      </c>
      <c r="B91" s="2" t="s">
        <v>11</v>
      </c>
      <c r="C91" s="2" t="s">
        <v>142</v>
      </c>
      <c r="D91" s="2" t="s">
        <v>25</v>
      </c>
      <c r="E91" s="2"/>
      <c r="F91" s="2">
        <v>5</v>
      </c>
      <c r="G91" s="2">
        <f t="shared" si="8"/>
        <v>0</v>
      </c>
      <c r="I91" s="2"/>
      <c r="K91" s="2"/>
      <c r="L91">
        <f t="shared" si="9"/>
        <v>0</v>
      </c>
    </row>
    <row r="92" spans="1:12">
      <c r="A92" s="2" t="s">
        <v>145</v>
      </c>
      <c r="B92" s="2" t="s">
        <v>11</v>
      </c>
      <c r="C92" s="2" t="s">
        <v>142</v>
      </c>
      <c r="D92" s="2" t="s">
        <v>26</v>
      </c>
      <c r="E92" s="2"/>
      <c r="F92" s="2">
        <v>5</v>
      </c>
      <c r="G92" s="2">
        <f t="shared" si="8"/>
        <v>0</v>
      </c>
      <c r="I92" s="2"/>
      <c r="K92" s="2"/>
      <c r="L92">
        <f t="shared" si="9"/>
        <v>0</v>
      </c>
    </row>
    <row r="93" spans="1:12">
      <c r="A93" s="2" t="s">
        <v>146</v>
      </c>
      <c r="B93" s="2" t="s">
        <v>11</v>
      </c>
      <c r="C93" s="2" t="s">
        <v>142</v>
      </c>
      <c r="D93" s="2" t="s">
        <v>27</v>
      </c>
      <c r="E93" s="2"/>
      <c r="F93" s="2">
        <v>2</v>
      </c>
      <c r="G93" s="2">
        <f t="shared" si="8"/>
        <v>0</v>
      </c>
      <c r="I93" s="2"/>
      <c r="K93" s="2"/>
      <c r="L93">
        <f t="shared" si="9"/>
        <v>0</v>
      </c>
    </row>
    <row r="94" spans="1:12">
      <c r="A94" s="2" t="s">
        <v>147</v>
      </c>
      <c r="B94" s="2" t="s">
        <v>11</v>
      </c>
      <c r="C94" s="2" t="s">
        <v>142</v>
      </c>
      <c r="D94" s="2" t="s">
        <v>28</v>
      </c>
      <c r="E94" s="2"/>
      <c r="F94" s="2">
        <v>5</v>
      </c>
      <c r="G94" s="2">
        <f t="shared" si="8"/>
        <v>0</v>
      </c>
      <c r="I94" s="2"/>
      <c r="K94" s="2"/>
      <c r="L94">
        <f t="shared" si="9"/>
        <v>0</v>
      </c>
    </row>
    <row r="95" spans="1:12">
      <c r="A95" s="2" t="s">
        <v>148</v>
      </c>
      <c r="B95" s="2" t="s">
        <v>11</v>
      </c>
      <c r="C95" s="2" t="s">
        <v>142</v>
      </c>
      <c r="D95" s="2" t="s">
        <v>36</v>
      </c>
      <c r="E95" s="2"/>
      <c r="F95" s="2">
        <v>5</v>
      </c>
      <c r="G95" s="2">
        <f t="shared" si="8"/>
        <v>0</v>
      </c>
      <c r="I95" s="2"/>
      <c r="J95" s="2" t="s">
        <v>39</v>
      </c>
      <c r="K95" s="2"/>
      <c r="L95">
        <f t="shared" si="9"/>
        <v>0</v>
      </c>
    </row>
    <row r="96" spans="1:12">
      <c r="A96" s="2" t="s">
        <v>149</v>
      </c>
      <c r="B96" s="2" t="s">
        <v>11</v>
      </c>
      <c r="C96" s="2" t="s">
        <v>142</v>
      </c>
      <c r="D96" s="2" t="s">
        <v>37</v>
      </c>
      <c r="E96" s="2"/>
      <c r="F96" s="2">
        <v>10</v>
      </c>
      <c r="G96" s="2">
        <f t="shared" si="8"/>
        <v>0</v>
      </c>
      <c r="I96" s="2"/>
      <c r="J96" s="2" t="s">
        <v>39</v>
      </c>
      <c r="K96" s="2"/>
      <c r="L96">
        <f t="shared" si="9"/>
        <v>0</v>
      </c>
    </row>
    <row r="97" spans="1:12">
      <c r="A97" s="2" t="s">
        <v>150</v>
      </c>
      <c r="B97" s="2" t="s">
        <v>11</v>
      </c>
      <c r="C97" s="2" t="s">
        <v>142</v>
      </c>
      <c r="D97" s="2" t="s">
        <v>38</v>
      </c>
      <c r="E97" s="2"/>
      <c r="F97" s="2">
        <v>7</v>
      </c>
      <c r="G97" s="2">
        <f t="shared" si="8"/>
        <v>0</v>
      </c>
      <c r="I97" s="2"/>
      <c r="J97" s="2" t="s">
        <v>39</v>
      </c>
      <c r="K97" s="2"/>
      <c r="L97">
        <f t="shared" si="9"/>
        <v>0</v>
      </c>
    </row>
    <row r="98" spans="1:12">
      <c r="A98" s="2" t="s">
        <v>151</v>
      </c>
      <c r="B98" s="2" t="s">
        <v>11</v>
      </c>
      <c r="C98" s="2" t="s">
        <v>142</v>
      </c>
      <c r="D98" s="2" t="s">
        <v>114</v>
      </c>
      <c r="E98" s="2"/>
      <c r="F98" s="2">
        <v>22</v>
      </c>
      <c r="G98" s="2">
        <f t="shared" si="8"/>
        <v>0</v>
      </c>
      <c r="I98" s="2"/>
      <c r="K98" s="2"/>
      <c r="L98">
        <f t="shared" si="9"/>
        <v>0</v>
      </c>
    </row>
    <row r="99" spans="1:12">
      <c r="A99" s="2" t="s">
        <v>154</v>
      </c>
      <c r="B99" s="2" t="s">
        <v>11</v>
      </c>
      <c r="C99" s="2" t="s">
        <v>155</v>
      </c>
      <c r="D99" s="2" t="s">
        <v>62</v>
      </c>
      <c r="E99" s="2"/>
      <c r="F99" s="2">
        <v>5</v>
      </c>
      <c r="G99" s="2">
        <f t="shared" si="8"/>
        <v>0</v>
      </c>
      <c r="I99" s="2"/>
      <c r="J99" s="2" t="s">
        <v>39</v>
      </c>
      <c r="K99" s="2"/>
      <c r="L99">
        <f t="shared" si="9"/>
        <v>0</v>
      </c>
    </row>
    <row r="100" spans="1:12">
      <c r="A100" s="2" t="s">
        <v>156</v>
      </c>
      <c r="B100" s="2" t="s">
        <v>11</v>
      </c>
      <c r="C100" s="2" t="s">
        <v>155</v>
      </c>
      <c r="D100" s="2" t="s">
        <v>63</v>
      </c>
      <c r="E100" s="2"/>
      <c r="F100" s="2">
        <v>5</v>
      </c>
      <c r="G100" s="2">
        <f t="shared" si="8"/>
        <v>0</v>
      </c>
      <c r="I100" s="2"/>
      <c r="J100" s="2" t="s">
        <v>39</v>
      </c>
      <c r="K100" s="2"/>
      <c r="L100">
        <f t="shared" si="9"/>
        <v>0</v>
      </c>
    </row>
    <row r="101" spans="1:12">
      <c r="A101" s="2" t="s">
        <v>157</v>
      </c>
      <c r="B101" s="2" t="s">
        <v>11</v>
      </c>
      <c r="C101" s="2" t="s">
        <v>155</v>
      </c>
      <c r="D101" s="2" t="s">
        <v>64</v>
      </c>
      <c r="E101" s="2"/>
      <c r="F101" s="2">
        <v>5</v>
      </c>
      <c r="G101" s="2">
        <f t="shared" si="8"/>
        <v>0</v>
      </c>
      <c r="I101" s="2"/>
      <c r="J101" s="2" t="s">
        <v>39</v>
      </c>
      <c r="K101" s="2"/>
      <c r="L101">
        <f t="shared" si="9"/>
        <v>0</v>
      </c>
    </row>
    <row r="102" spans="1:12">
      <c r="A102" s="2" t="s">
        <v>158</v>
      </c>
      <c r="B102" s="2" t="s">
        <v>11</v>
      </c>
      <c r="C102" s="2" t="s">
        <v>155</v>
      </c>
      <c r="D102" s="2" t="s">
        <v>65</v>
      </c>
      <c r="E102" s="2"/>
      <c r="F102" s="2">
        <v>5</v>
      </c>
      <c r="G102" s="2">
        <f t="shared" si="8"/>
        <v>0</v>
      </c>
      <c r="I102" s="2"/>
      <c r="J102" s="2" t="s">
        <v>39</v>
      </c>
      <c r="K102" s="2"/>
      <c r="L102">
        <f t="shared" si="9"/>
        <v>0</v>
      </c>
    </row>
    <row r="103" spans="1:12">
      <c r="A103" s="2" t="s">
        <v>159</v>
      </c>
      <c r="B103" s="2" t="s">
        <v>11</v>
      </c>
      <c r="C103" s="2" t="s">
        <v>155</v>
      </c>
      <c r="D103" s="2" t="s">
        <v>66</v>
      </c>
      <c r="E103" s="2"/>
      <c r="F103" s="2">
        <v>5</v>
      </c>
      <c r="G103" s="2">
        <f t="shared" si="8"/>
        <v>0</v>
      </c>
      <c r="I103" s="2"/>
      <c r="J103" s="2" t="s">
        <v>164</v>
      </c>
      <c r="K103" s="2"/>
      <c r="L103">
        <f t="shared" si="9"/>
        <v>0</v>
      </c>
    </row>
    <row r="104" spans="1:12">
      <c r="A104" s="2" t="s">
        <v>160</v>
      </c>
      <c r="B104" s="2" t="s">
        <v>11</v>
      </c>
      <c r="C104" s="2" t="s">
        <v>155</v>
      </c>
      <c r="D104" s="2" t="s">
        <v>67</v>
      </c>
      <c r="E104" s="2"/>
      <c r="F104" s="2">
        <v>5</v>
      </c>
      <c r="G104" s="2">
        <f t="shared" si="8"/>
        <v>0</v>
      </c>
      <c r="I104" s="2"/>
      <c r="J104" s="2" t="s">
        <v>165</v>
      </c>
      <c r="K104" s="2"/>
      <c r="L104">
        <f t="shared" si="9"/>
        <v>0</v>
      </c>
    </row>
    <row r="105" spans="1:12">
      <c r="A105" s="2" t="s">
        <v>161</v>
      </c>
      <c r="B105" s="2" t="s">
        <v>11</v>
      </c>
      <c r="C105" s="2" t="s">
        <v>155</v>
      </c>
      <c r="D105" s="2" t="s">
        <v>68</v>
      </c>
      <c r="E105" s="2"/>
      <c r="F105" s="2">
        <v>15</v>
      </c>
      <c r="G105" s="2">
        <f t="shared" si="8"/>
        <v>0</v>
      </c>
      <c r="I105" s="2"/>
      <c r="K105" s="2"/>
      <c r="L105">
        <f t="shared" si="9"/>
        <v>0</v>
      </c>
    </row>
    <row r="106" spans="1:12">
      <c r="A106" s="2" t="s">
        <v>162</v>
      </c>
      <c r="B106" s="2" t="s">
        <v>11</v>
      </c>
      <c r="C106" s="2" t="s">
        <v>155</v>
      </c>
      <c r="D106" s="2" t="s">
        <v>69</v>
      </c>
      <c r="E106" s="2"/>
      <c r="F106" s="2">
        <v>15</v>
      </c>
      <c r="G106" s="2">
        <f t="shared" si="8"/>
        <v>0</v>
      </c>
      <c r="I106" s="2"/>
      <c r="K106" s="2"/>
      <c r="L106">
        <f t="shared" si="9"/>
        <v>0</v>
      </c>
    </row>
    <row r="107" spans="1:12">
      <c r="A107" s="2" t="s">
        <v>163</v>
      </c>
      <c r="B107" s="2" t="s">
        <v>11</v>
      </c>
      <c r="C107" s="2" t="s">
        <v>155</v>
      </c>
      <c r="D107" s="2" t="s">
        <v>153</v>
      </c>
      <c r="E107" s="2"/>
      <c r="F107" s="2">
        <v>30</v>
      </c>
      <c r="G107" s="2">
        <f t="shared" si="8"/>
        <v>0</v>
      </c>
      <c r="I107" s="2"/>
      <c r="K107" s="2"/>
      <c r="L107">
        <f t="shared" si="9"/>
        <v>0</v>
      </c>
    </row>
    <row r="108" spans="1:12">
      <c r="A108" s="6" t="s">
        <v>166</v>
      </c>
      <c r="B108" s="6" t="s">
        <v>79</v>
      </c>
      <c r="C108" s="6" t="s">
        <v>167</v>
      </c>
      <c r="F108" s="2">
        <v>30</v>
      </c>
      <c r="J108" s="4" t="s">
        <v>14</v>
      </c>
      <c r="L108">
        <f>I108</f>
        <v>0</v>
      </c>
    </row>
    <row r="109" spans="1:12">
      <c r="A109" s="2" t="s">
        <v>168</v>
      </c>
      <c r="B109" s="2" t="s">
        <v>87</v>
      </c>
      <c r="C109" s="2" t="s">
        <v>172</v>
      </c>
      <c r="D109" s="2" t="s">
        <v>174</v>
      </c>
      <c r="F109" s="2">
        <v>16</v>
      </c>
      <c r="J109" s="4" t="s">
        <v>14</v>
      </c>
      <c r="L109">
        <f>I109</f>
        <v>0</v>
      </c>
    </row>
    <row r="110" spans="1:12" s="2" customFormat="1">
      <c r="A110" s="2" t="s">
        <v>169</v>
      </c>
      <c r="B110" s="2" t="s">
        <v>87</v>
      </c>
      <c r="C110" s="2" t="s">
        <v>172</v>
      </c>
      <c r="D110" s="2" t="s">
        <v>175</v>
      </c>
      <c r="F110" s="2">
        <v>9</v>
      </c>
      <c r="J110" s="4"/>
      <c r="L110" s="2">
        <f>E110</f>
        <v>0</v>
      </c>
    </row>
    <row r="111" spans="1:12">
      <c r="A111" s="2" t="s">
        <v>170</v>
      </c>
      <c r="B111" s="2" t="s">
        <v>87</v>
      </c>
      <c r="C111" s="2" t="s">
        <v>173</v>
      </c>
      <c r="D111" s="2" t="s">
        <v>174</v>
      </c>
      <c r="F111" s="2">
        <v>16</v>
      </c>
      <c r="J111" s="4" t="s">
        <v>14</v>
      </c>
      <c r="L111">
        <f>I111</f>
        <v>0</v>
      </c>
    </row>
    <row r="112" spans="1:12">
      <c r="A112" s="2" t="s">
        <v>171</v>
      </c>
      <c r="B112" s="2" t="s">
        <v>87</v>
      </c>
      <c r="C112" s="2" t="s">
        <v>173</v>
      </c>
      <c r="D112" s="2" t="s">
        <v>175</v>
      </c>
      <c r="F112" s="2">
        <v>8</v>
      </c>
      <c r="L112">
        <f>E112</f>
        <v>0</v>
      </c>
    </row>
    <row r="113" spans="1:12">
      <c r="A113" s="2" t="s">
        <v>204</v>
      </c>
      <c r="B113" s="2" t="s">
        <v>11</v>
      </c>
      <c r="C113" s="2" t="s">
        <v>176</v>
      </c>
      <c r="D113" s="2" t="s">
        <v>177</v>
      </c>
      <c r="F113" s="2">
        <v>5</v>
      </c>
      <c r="G113" s="2">
        <f t="shared" ref="G113:G150" si="10">E113/F113*100</f>
        <v>0</v>
      </c>
      <c r="L113">
        <f t="shared" ref="L113:L144" si="11">G113</f>
        <v>0</v>
      </c>
    </row>
    <row r="114" spans="1:12">
      <c r="A114" s="2" t="s">
        <v>205</v>
      </c>
      <c r="B114" s="2" t="s">
        <v>11</v>
      </c>
      <c r="C114" s="2" t="s">
        <v>176</v>
      </c>
      <c r="D114" s="2" t="s">
        <v>178</v>
      </c>
      <c r="F114" s="2">
        <v>5</v>
      </c>
      <c r="G114" s="2">
        <f t="shared" si="10"/>
        <v>0</v>
      </c>
      <c r="L114">
        <f t="shared" si="11"/>
        <v>0</v>
      </c>
    </row>
    <row r="115" spans="1:12">
      <c r="A115" s="2" t="s">
        <v>206</v>
      </c>
      <c r="B115" s="2" t="s">
        <v>11</v>
      </c>
      <c r="C115" s="2" t="s">
        <v>176</v>
      </c>
      <c r="D115" s="2" t="s">
        <v>179</v>
      </c>
      <c r="F115" s="2">
        <v>10</v>
      </c>
      <c r="G115" s="2">
        <f t="shared" si="10"/>
        <v>0</v>
      </c>
      <c r="L115">
        <f t="shared" si="11"/>
        <v>0</v>
      </c>
    </row>
    <row r="116" spans="1:12">
      <c r="A116" s="2" t="s">
        <v>207</v>
      </c>
      <c r="B116" s="2" t="s">
        <v>11</v>
      </c>
      <c r="C116" s="2" t="s">
        <v>176</v>
      </c>
      <c r="D116" s="2" t="s">
        <v>180</v>
      </c>
      <c r="F116" s="2">
        <v>2</v>
      </c>
      <c r="G116" s="2">
        <f t="shared" si="10"/>
        <v>0</v>
      </c>
      <c r="L116">
        <f t="shared" si="11"/>
        <v>0</v>
      </c>
    </row>
    <row r="117" spans="1:12">
      <c r="A117" s="2" t="s">
        <v>208</v>
      </c>
      <c r="B117" s="2" t="s">
        <v>11</v>
      </c>
      <c r="C117" s="2" t="s">
        <v>176</v>
      </c>
      <c r="D117" s="2" t="s">
        <v>181</v>
      </c>
      <c r="F117" s="2">
        <v>10</v>
      </c>
      <c r="G117" s="2">
        <f t="shared" si="10"/>
        <v>0</v>
      </c>
      <c r="L117">
        <f t="shared" si="11"/>
        <v>0</v>
      </c>
    </row>
    <row r="118" spans="1:12">
      <c r="A118" s="2" t="s">
        <v>209</v>
      </c>
      <c r="B118" s="2" t="s">
        <v>11</v>
      </c>
      <c r="C118" s="2" t="s">
        <v>176</v>
      </c>
      <c r="D118" s="2" t="s">
        <v>182</v>
      </c>
      <c r="F118" s="2">
        <v>5</v>
      </c>
      <c r="G118" s="2">
        <f t="shared" si="10"/>
        <v>0</v>
      </c>
      <c r="L118">
        <f t="shared" si="11"/>
        <v>0</v>
      </c>
    </row>
    <row r="119" spans="1:12">
      <c r="A119" s="2" t="s">
        <v>210</v>
      </c>
      <c r="B119" s="2" t="s">
        <v>11</v>
      </c>
      <c r="C119" s="2" t="s">
        <v>176</v>
      </c>
      <c r="D119" s="2" t="s">
        <v>183</v>
      </c>
      <c r="F119" s="2">
        <v>15</v>
      </c>
      <c r="G119" s="2">
        <f t="shared" si="10"/>
        <v>0</v>
      </c>
      <c r="L119">
        <f t="shared" si="11"/>
        <v>0</v>
      </c>
    </row>
    <row r="120" spans="1:12">
      <c r="A120" s="2" t="s">
        <v>211</v>
      </c>
      <c r="B120" s="2" t="s">
        <v>11</v>
      </c>
      <c r="C120" s="2" t="s">
        <v>176</v>
      </c>
      <c r="D120" s="2" t="s">
        <v>184</v>
      </c>
      <c r="F120" s="2">
        <v>12</v>
      </c>
      <c r="G120" s="2">
        <f t="shared" si="10"/>
        <v>0</v>
      </c>
      <c r="L120">
        <f t="shared" si="11"/>
        <v>0</v>
      </c>
    </row>
    <row r="121" spans="1:12">
      <c r="A121" s="2" t="s">
        <v>212</v>
      </c>
      <c r="B121" s="2" t="s">
        <v>11</v>
      </c>
      <c r="C121" s="2" t="s">
        <v>176</v>
      </c>
      <c r="D121" s="2" t="s">
        <v>185</v>
      </c>
      <c r="F121" s="2">
        <v>32</v>
      </c>
      <c r="G121" s="2">
        <f t="shared" si="10"/>
        <v>0</v>
      </c>
      <c r="L121">
        <f t="shared" si="11"/>
        <v>0</v>
      </c>
    </row>
    <row r="122" spans="1:12">
      <c r="A122" s="2" t="s">
        <v>213</v>
      </c>
      <c r="B122" s="2" t="s">
        <v>11</v>
      </c>
      <c r="C122" s="2" t="s">
        <v>176</v>
      </c>
      <c r="D122" s="2" t="s">
        <v>186</v>
      </c>
      <c r="F122" s="2">
        <v>5</v>
      </c>
      <c r="G122" s="2">
        <f t="shared" si="10"/>
        <v>0</v>
      </c>
      <c r="L122">
        <f t="shared" si="11"/>
        <v>0</v>
      </c>
    </row>
    <row r="123" spans="1:12">
      <c r="A123" s="2" t="s">
        <v>214</v>
      </c>
      <c r="B123" s="2" t="s">
        <v>11</v>
      </c>
      <c r="C123" s="2" t="s">
        <v>176</v>
      </c>
      <c r="D123" s="2" t="s">
        <v>187</v>
      </c>
      <c r="F123" s="2">
        <v>5</v>
      </c>
      <c r="G123" s="2">
        <f t="shared" si="10"/>
        <v>0</v>
      </c>
      <c r="L123">
        <f t="shared" si="11"/>
        <v>0</v>
      </c>
    </row>
    <row r="124" spans="1:12">
      <c r="A124" s="2" t="s">
        <v>215</v>
      </c>
      <c r="B124" s="2" t="s">
        <v>11</v>
      </c>
      <c r="C124" s="2" t="s">
        <v>176</v>
      </c>
      <c r="D124" s="2" t="s">
        <v>188</v>
      </c>
      <c r="F124" s="2">
        <v>10</v>
      </c>
      <c r="G124" s="2">
        <f t="shared" si="10"/>
        <v>0</v>
      </c>
      <c r="L124">
        <f t="shared" si="11"/>
        <v>0</v>
      </c>
    </row>
    <row r="125" spans="1:12">
      <c r="A125" s="2" t="s">
        <v>216</v>
      </c>
      <c r="B125" s="2" t="s">
        <v>11</v>
      </c>
      <c r="C125" s="2" t="s">
        <v>176</v>
      </c>
      <c r="D125" s="2" t="s">
        <v>189</v>
      </c>
      <c r="F125" s="2">
        <v>2</v>
      </c>
      <c r="G125" s="2">
        <f t="shared" si="10"/>
        <v>0</v>
      </c>
      <c r="L125">
        <f t="shared" si="11"/>
        <v>0</v>
      </c>
    </row>
    <row r="126" spans="1:12">
      <c r="A126" s="2" t="s">
        <v>217</v>
      </c>
      <c r="B126" s="2" t="s">
        <v>11</v>
      </c>
      <c r="C126" s="2" t="s">
        <v>176</v>
      </c>
      <c r="D126" s="2" t="s">
        <v>190</v>
      </c>
      <c r="F126" s="2">
        <v>10</v>
      </c>
      <c r="G126" s="2">
        <f t="shared" si="10"/>
        <v>0</v>
      </c>
      <c r="L126">
        <f t="shared" si="11"/>
        <v>0</v>
      </c>
    </row>
    <row r="127" spans="1:12">
      <c r="A127" s="2" t="s">
        <v>218</v>
      </c>
      <c r="B127" s="2" t="s">
        <v>11</v>
      </c>
      <c r="C127" s="2" t="s">
        <v>176</v>
      </c>
      <c r="D127" s="2" t="s">
        <v>191</v>
      </c>
      <c r="F127" s="2">
        <v>5</v>
      </c>
      <c r="G127" s="2">
        <f t="shared" si="10"/>
        <v>0</v>
      </c>
      <c r="L127">
        <f t="shared" si="11"/>
        <v>0</v>
      </c>
    </row>
    <row r="128" spans="1:12">
      <c r="A128" s="2" t="s">
        <v>219</v>
      </c>
      <c r="B128" s="2" t="s">
        <v>11</v>
      </c>
      <c r="C128" s="2" t="s">
        <v>176</v>
      </c>
      <c r="D128" s="2" t="s">
        <v>192</v>
      </c>
      <c r="F128" s="2">
        <v>15</v>
      </c>
      <c r="G128" s="2">
        <f t="shared" si="10"/>
        <v>0</v>
      </c>
      <c r="L128">
        <f t="shared" si="11"/>
        <v>0</v>
      </c>
    </row>
    <row r="129" spans="1:12">
      <c r="A129" s="2" t="s">
        <v>220</v>
      </c>
      <c r="B129" s="2" t="s">
        <v>11</v>
      </c>
      <c r="C129" s="2" t="s">
        <v>176</v>
      </c>
      <c r="D129" s="2" t="s">
        <v>193</v>
      </c>
      <c r="F129" s="2">
        <v>12</v>
      </c>
      <c r="G129" s="2">
        <f t="shared" si="10"/>
        <v>0</v>
      </c>
      <c r="L129">
        <f t="shared" si="11"/>
        <v>0</v>
      </c>
    </row>
    <row r="130" spans="1:12">
      <c r="A130" s="2" t="s">
        <v>221</v>
      </c>
      <c r="B130" s="2" t="s">
        <v>11</v>
      </c>
      <c r="C130" s="2" t="s">
        <v>176</v>
      </c>
      <c r="D130" s="2" t="s">
        <v>194</v>
      </c>
      <c r="F130" s="2">
        <v>32</v>
      </c>
      <c r="G130" s="2">
        <f t="shared" si="10"/>
        <v>0</v>
      </c>
      <c r="L130">
        <f t="shared" si="11"/>
        <v>0</v>
      </c>
    </row>
    <row r="131" spans="1:12">
      <c r="A131" s="2" t="s">
        <v>222</v>
      </c>
      <c r="B131" s="2" t="s">
        <v>11</v>
      </c>
      <c r="C131" s="2" t="s">
        <v>176</v>
      </c>
      <c r="D131" s="2" t="s">
        <v>195</v>
      </c>
      <c r="F131" s="2">
        <v>5</v>
      </c>
      <c r="G131" s="2">
        <f t="shared" si="10"/>
        <v>0</v>
      </c>
      <c r="L131">
        <f t="shared" si="11"/>
        <v>0</v>
      </c>
    </row>
    <row r="132" spans="1:12">
      <c r="A132" s="2" t="s">
        <v>223</v>
      </c>
      <c r="B132" s="2" t="s">
        <v>11</v>
      </c>
      <c r="C132" s="2" t="s">
        <v>176</v>
      </c>
      <c r="D132" s="2" t="s">
        <v>196</v>
      </c>
      <c r="F132" s="2">
        <v>5</v>
      </c>
      <c r="G132" s="2">
        <f t="shared" si="10"/>
        <v>0</v>
      </c>
      <c r="L132">
        <f t="shared" si="11"/>
        <v>0</v>
      </c>
    </row>
    <row r="133" spans="1:12">
      <c r="A133" s="2" t="s">
        <v>224</v>
      </c>
      <c r="B133" s="2" t="s">
        <v>11</v>
      </c>
      <c r="C133" s="2" t="s">
        <v>176</v>
      </c>
      <c r="D133" s="2" t="s">
        <v>197</v>
      </c>
      <c r="F133" s="2">
        <v>10</v>
      </c>
      <c r="G133" s="2">
        <f t="shared" si="10"/>
        <v>0</v>
      </c>
      <c r="L133">
        <f t="shared" si="11"/>
        <v>0</v>
      </c>
    </row>
    <row r="134" spans="1:12">
      <c r="A134" s="2" t="s">
        <v>225</v>
      </c>
      <c r="B134" s="2" t="s">
        <v>11</v>
      </c>
      <c r="C134" s="2" t="s">
        <v>176</v>
      </c>
      <c r="D134" s="2" t="s">
        <v>198</v>
      </c>
      <c r="F134" s="2">
        <v>2</v>
      </c>
      <c r="G134" s="2">
        <f t="shared" si="10"/>
        <v>0</v>
      </c>
      <c r="L134">
        <f t="shared" si="11"/>
        <v>0</v>
      </c>
    </row>
    <row r="135" spans="1:12">
      <c r="A135" s="2" t="s">
        <v>226</v>
      </c>
      <c r="B135" s="2" t="s">
        <v>11</v>
      </c>
      <c r="C135" s="2" t="s">
        <v>176</v>
      </c>
      <c r="D135" s="2" t="s">
        <v>199</v>
      </c>
      <c r="F135" s="2">
        <v>10</v>
      </c>
      <c r="G135" s="2">
        <f t="shared" si="10"/>
        <v>0</v>
      </c>
      <c r="L135">
        <f t="shared" si="11"/>
        <v>0</v>
      </c>
    </row>
    <row r="136" spans="1:12">
      <c r="A136" s="2" t="s">
        <v>227</v>
      </c>
      <c r="B136" s="2" t="s">
        <v>11</v>
      </c>
      <c r="C136" s="2" t="s">
        <v>176</v>
      </c>
      <c r="D136" s="2" t="s">
        <v>200</v>
      </c>
      <c r="F136" s="2">
        <v>5</v>
      </c>
      <c r="G136" s="2">
        <f t="shared" si="10"/>
        <v>0</v>
      </c>
      <c r="L136">
        <f t="shared" si="11"/>
        <v>0</v>
      </c>
    </row>
    <row r="137" spans="1:12">
      <c r="A137" s="2" t="s">
        <v>228</v>
      </c>
      <c r="B137" s="2" t="s">
        <v>11</v>
      </c>
      <c r="C137" s="2" t="s">
        <v>176</v>
      </c>
      <c r="D137" s="2" t="s">
        <v>201</v>
      </c>
      <c r="F137" s="2">
        <v>15</v>
      </c>
      <c r="G137" s="2">
        <f t="shared" si="10"/>
        <v>0</v>
      </c>
      <c r="L137">
        <f t="shared" si="11"/>
        <v>0</v>
      </c>
    </row>
    <row r="138" spans="1:12">
      <c r="A138" s="2" t="s">
        <v>229</v>
      </c>
      <c r="B138" s="2" t="s">
        <v>11</v>
      </c>
      <c r="C138" s="2" t="s">
        <v>176</v>
      </c>
      <c r="D138" s="2" t="s">
        <v>202</v>
      </c>
      <c r="F138" s="2">
        <v>12</v>
      </c>
      <c r="G138" s="2">
        <f t="shared" si="10"/>
        <v>0</v>
      </c>
      <c r="L138">
        <f t="shared" si="11"/>
        <v>0</v>
      </c>
    </row>
    <row r="139" spans="1:12">
      <c r="A139" s="2" t="s">
        <v>230</v>
      </c>
      <c r="B139" s="2" t="s">
        <v>11</v>
      </c>
      <c r="C139" s="2" t="s">
        <v>176</v>
      </c>
      <c r="D139" s="2" t="s">
        <v>203</v>
      </c>
      <c r="F139" s="2">
        <v>32</v>
      </c>
      <c r="G139" s="2">
        <f t="shared" si="10"/>
        <v>0</v>
      </c>
      <c r="L139">
        <f t="shared" si="11"/>
        <v>0</v>
      </c>
    </row>
    <row r="140" spans="1:12">
      <c r="A140" s="2" t="s">
        <v>231</v>
      </c>
      <c r="B140" s="2" t="s">
        <v>101</v>
      </c>
      <c r="C140" s="2" t="s">
        <v>315</v>
      </c>
      <c r="D140" s="2" t="s">
        <v>317</v>
      </c>
      <c r="F140" s="2">
        <v>6</v>
      </c>
      <c r="G140" s="2">
        <f t="shared" si="10"/>
        <v>0</v>
      </c>
      <c r="L140">
        <f t="shared" si="11"/>
        <v>0</v>
      </c>
    </row>
    <row r="141" spans="1:12">
      <c r="A141" s="2" t="s">
        <v>232</v>
      </c>
      <c r="B141" s="2" t="s">
        <v>101</v>
      </c>
      <c r="C141" s="2" t="s">
        <v>315</v>
      </c>
      <c r="D141" s="2" t="s">
        <v>318</v>
      </c>
      <c r="F141" s="2">
        <v>65</v>
      </c>
      <c r="G141" s="2">
        <f t="shared" si="10"/>
        <v>0</v>
      </c>
      <c r="L141">
        <f t="shared" si="11"/>
        <v>0</v>
      </c>
    </row>
    <row r="142" spans="1:12" s="2" customFormat="1">
      <c r="A142" s="2" t="s">
        <v>323</v>
      </c>
      <c r="B142" s="6" t="s">
        <v>101</v>
      </c>
      <c r="C142" s="6" t="s">
        <v>316</v>
      </c>
      <c r="D142" s="2" t="s">
        <v>320</v>
      </c>
      <c r="F142" s="2">
        <v>31</v>
      </c>
      <c r="G142" s="2">
        <f t="shared" si="10"/>
        <v>0</v>
      </c>
      <c r="L142" s="2">
        <f t="shared" si="11"/>
        <v>0</v>
      </c>
    </row>
    <row r="143" spans="1:12" s="2" customFormat="1">
      <c r="A143" s="2" t="s">
        <v>324</v>
      </c>
      <c r="B143" s="6" t="s">
        <v>101</v>
      </c>
      <c r="C143" s="6" t="s">
        <v>316</v>
      </c>
      <c r="D143" s="2" t="s">
        <v>321</v>
      </c>
      <c r="F143" s="2">
        <v>31</v>
      </c>
      <c r="G143" s="2">
        <f t="shared" si="10"/>
        <v>0</v>
      </c>
      <c r="L143" s="2">
        <f t="shared" si="11"/>
        <v>0</v>
      </c>
    </row>
    <row r="144" spans="1:12" s="2" customFormat="1">
      <c r="A144" s="2" t="s">
        <v>325</v>
      </c>
      <c r="B144" s="6" t="s">
        <v>101</v>
      </c>
      <c r="C144" s="6" t="s">
        <v>316</v>
      </c>
      <c r="D144" s="2" t="s">
        <v>322</v>
      </c>
      <c r="F144" s="2">
        <v>26</v>
      </c>
      <c r="G144" s="2">
        <f t="shared" si="10"/>
        <v>0</v>
      </c>
      <c r="L144" s="2">
        <f t="shared" si="11"/>
        <v>0</v>
      </c>
    </row>
    <row r="145" spans="1:12">
      <c r="A145" s="6" t="s">
        <v>326</v>
      </c>
      <c r="B145" s="6" t="s">
        <v>101</v>
      </c>
      <c r="C145" s="6" t="s">
        <v>316</v>
      </c>
      <c r="D145" s="2" t="s">
        <v>319</v>
      </c>
      <c r="F145" s="2">
        <v>88</v>
      </c>
      <c r="G145" s="2">
        <f t="shared" si="10"/>
        <v>0</v>
      </c>
      <c r="L145">
        <f t="shared" ref="L145:L162" si="12">G145</f>
        <v>0</v>
      </c>
    </row>
    <row r="146" spans="1:12">
      <c r="A146" s="2" t="s">
        <v>233</v>
      </c>
      <c r="B146" s="2" t="s">
        <v>79</v>
      </c>
      <c r="C146" s="2" t="s">
        <v>237</v>
      </c>
      <c r="D146" s="2" t="s">
        <v>238</v>
      </c>
      <c r="F146" s="2">
        <v>30</v>
      </c>
      <c r="G146" s="2">
        <f t="shared" si="10"/>
        <v>0</v>
      </c>
      <c r="L146">
        <f t="shared" si="12"/>
        <v>0</v>
      </c>
    </row>
    <row r="147" spans="1:12">
      <c r="A147" s="2" t="s">
        <v>234</v>
      </c>
      <c r="B147" s="2" t="s">
        <v>79</v>
      </c>
      <c r="C147" s="2" t="s">
        <v>237</v>
      </c>
      <c r="D147" s="2" t="s">
        <v>239</v>
      </c>
      <c r="F147" s="2">
        <v>30</v>
      </c>
      <c r="G147" s="2">
        <f t="shared" si="10"/>
        <v>0</v>
      </c>
      <c r="L147">
        <f t="shared" si="12"/>
        <v>0</v>
      </c>
    </row>
    <row r="148" spans="1:12">
      <c r="A148" s="2" t="s">
        <v>235</v>
      </c>
      <c r="B148" s="2" t="s">
        <v>79</v>
      </c>
      <c r="C148" s="2" t="s">
        <v>237</v>
      </c>
      <c r="D148" s="2" t="s">
        <v>114</v>
      </c>
      <c r="F148" s="2">
        <v>60</v>
      </c>
      <c r="G148" s="2">
        <f t="shared" si="10"/>
        <v>0</v>
      </c>
      <c r="L148">
        <f t="shared" si="12"/>
        <v>0</v>
      </c>
    </row>
    <row r="149" spans="1:12">
      <c r="A149" s="2" t="s">
        <v>236</v>
      </c>
      <c r="B149" s="2" t="s">
        <v>79</v>
      </c>
      <c r="C149" s="2" t="s">
        <v>237</v>
      </c>
      <c r="D149" s="2" t="s">
        <v>243</v>
      </c>
      <c r="F149" s="2">
        <v>60</v>
      </c>
      <c r="G149" s="2">
        <f t="shared" si="10"/>
        <v>0</v>
      </c>
      <c r="L149">
        <f t="shared" si="12"/>
        <v>0</v>
      </c>
    </row>
    <row r="150" spans="1:12" s="2" customFormat="1">
      <c r="A150" s="6" t="s">
        <v>264</v>
      </c>
      <c r="B150" s="6" t="s">
        <v>101</v>
      </c>
      <c r="C150" s="6" t="s">
        <v>255</v>
      </c>
      <c r="D150" s="2" t="s">
        <v>256</v>
      </c>
      <c r="F150" s="2">
        <v>20</v>
      </c>
      <c r="G150" s="2">
        <f t="shared" si="10"/>
        <v>0</v>
      </c>
      <c r="L150" s="2">
        <f t="shared" si="12"/>
        <v>0</v>
      </c>
    </row>
    <row r="151" spans="1:12" s="2" customFormat="1">
      <c r="A151" s="6" t="s">
        <v>265</v>
      </c>
      <c r="B151" s="6" t="s">
        <v>101</v>
      </c>
      <c r="C151" s="6" t="s">
        <v>255</v>
      </c>
      <c r="D151" s="2" t="s">
        <v>257</v>
      </c>
      <c r="F151" s="2">
        <v>20</v>
      </c>
      <c r="G151" s="2">
        <f t="shared" ref="G151:G162" si="13">E151/F151*100</f>
        <v>0</v>
      </c>
      <c r="L151" s="2">
        <f t="shared" si="12"/>
        <v>0</v>
      </c>
    </row>
    <row r="152" spans="1:12" s="2" customFormat="1">
      <c r="A152" s="6" t="s">
        <v>266</v>
      </c>
      <c r="B152" s="6" t="s">
        <v>101</v>
      </c>
      <c r="C152" s="6" t="s">
        <v>255</v>
      </c>
      <c r="D152" s="2" t="s">
        <v>258</v>
      </c>
      <c r="F152" s="2">
        <v>20</v>
      </c>
      <c r="G152" s="2">
        <f t="shared" si="13"/>
        <v>0</v>
      </c>
      <c r="L152" s="2">
        <f t="shared" si="12"/>
        <v>0</v>
      </c>
    </row>
    <row r="153" spans="1:12" s="2" customFormat="1">
      <c r="A153" s="6" t="s">
        <v>267</v>
      </c>
      <c r="B153" s="6" t="s">
        <v>101</v>
      </c>
      <c r="C153" s="6" t="s">
        <v>255</v>
      </c>
      <c r="D153" s="2" t="s">
        <v>259</v>
      </c>
      <c r="F153" s="2">
        <v>20</v>
      </c>
      <c r="G153" s="2">
        <f t="shared" si="13"/>
        <v>0</v>
      </c>
      <c r="L153" s="2">
        <f t="shared" si="12"/>
        <v>0</v>
      </c>
    </row>
    <row r="154" spans="1:12" s="2" customFormat="1">
      <c r="A154" s="6" t="s">
        <v>268</v>
      </c>
      <c r="B154" s="6" t="s">
        <v>101</v>
      </c>
      <c r="C154" s="6" t="s">
        <v>255</v>
      </c>
      <c r="D154" s="2" t="s">
        <v>260</v>
      </c>
      <c r="F154" s="2">
        <v>40</v>
      </c>
      <c r="G154" s="2">
        <f t="shared" si="13"/>
        <v>0</v>
      </c>
      <c r="L154" s="2">
        <f t="shared" si="12"/>
        <v>0</v>
      </c>
    </row>
    <row r="155" spans="1:12" s="2" customFormat="1">
      <c r="A155" s="6" t="s">
        <v>269</v>
      </c>
      <c r="B155" s="6" t="s">
        <v>101</v>
      </c>
      <c r="C155" s="6" t="s">
        <v>255</v>
      </c>
      <c r="D155" s="2" t="s">
        <v>261</v>
      </c>
      <c r="F155" s="2">
        <v>40</v>
      </c>
      <c r="G155" s="2">
        <f t="shared" si="13"/>
        <v>0</v>
      </c>
      <c r="L155" s="2">
        <f t="shared" si="12"/>
        <v>0</v>
      </c>
    </row>
    <row r="156" spans="1:12" s="2" customFormat="1">
      <c r="A156" s="6" t="s">
        <v>270</v>
      </c>
      <c r="B156" s="6" t="s">
        <v>101</v>
      </c>
      <c r="C156" s="6" t="s">
        <v>255</v>
      </c>
      <c r="D156" s="2" t="s">
        <v>262</v>
      </c>
      <c r="F156" s="2">
        <v>40</v>
      </c>
      <c r="G156" s="2">
        <f t="shared" si="13"/>
        <v>0</v>
      </c>
      <c r="L156" s="2">
        <f t="shared" si="12"/>
        <v>0</v>
      </c>
    </row>
    <row r="157" spans="1:12" s="2" customFormat="1">
      <c r="A157" s="6" t="s">
        <v>271</v>
      </c>
      <c r="B157" s="6" t="s">
        <v>101</v>
      </c>
      <c r="C157" s="6" t="s">
        <v>255</v>
      </c>
      <c r="D157" s="2" t="s">
        <v>263</v>
      </c>
      <c r="F157" s="2">
        <v>40</v>
      </c>
      <c r="G157" s="2">
        <f t="shared" si="13"/>
        <v>0</v>
      </c>
      <c r="L157" s="2">
        <f t="shared" si="12"/>
        <v>0</v>
      </c>
    </row>
    <row r="158" spans="1:12">
      <c r="A158" s="6" t="s">
        <v>272</v>
      </c>
      <c r="B158" s="6" t="s">
        <v>101</v>
      </c>
      <c r="C158" s="6" t="s">
        <v>255</v>
      </c>
      <c r="D158" s="2" t="s">
        <v>248</v>
      </c>
      <c r="F158" s="2">
        <v>80</v>
      </c>
      <c r="G158" s="2">
        <f t="shared" si="13"/>
        <v>0</v>
      </c>
      <c r="L158">
        <f t="shared" si="12"/>
        <v>0</v>
      </c>
    </row>
    <row r="159" spans="1:12">
      <c r="A159" s="6" t="s">
        <v>273</v>
      </c>
      <c r="B159" s="6" t="s">
        <v>101</v>
      </c>
      <c r="C159" s="6" t="s">
        <v>277</v>
      </c>
      <c r="D159" s="2" t="s">
        <v>278</v>
      </c>
      <c r="F159" s="2">
        <v>10</v>
      </c>
      <c r="G159" s="2">
        <f t="shared" si="13"/>
        <v>0</v>
      </c>
      <c r="L159">
        <f t="shared" si="12"/>
        <v>0</v>
      </c>
    </row>
    <row r="160" spans="1:12">
      <c r="A160" s="6" t="s">
        <v>274</v>
      </c>
      <c r="B160" s="6" t="s">
        <v>101</v>
      </c>
      <c r="C160" s="6" t="s">
        <v>277</v>
      </c>
      <c r="D160" s="2" t="s">
        <v>279</v>
      </c>
      <c r="F160" s="2">
        <v>10</v>
      </c>
      <c r="G160" s="2">
        <f t="shared" si="13"/>
        <v>0</v>
      </c>
      <c r="L160">
        <f t="shared" si="12"/>
        <v>0</v>
      </c>
    </row>
    <row r="161" spans="1:12">
      <c r="A161" s="6" t="s">
        <v>275</v>
      </c>
      <c r="B161" s="6" t="s">
        <v>101</v>
      </c>
      <c r="C161" s="6" t="s">
        <v>277</v>
      </c>
      <c r="D161" s="2" t="s">
        <v>280</v>
      </c>
      <c r="F161" s="2">
        <v>10</v>
      </c>
      <c r="G161" s="2">
        <f t="shared" si="13"/>
        <v>0</v>
      </c>
      <c r="L161">
        <f t="shared" si="12"/>
        <v>0</v>
      </c>
    </row>
    <row r="162" spans="1:12">
      <c r="A162" s="6" t="s">
        <v>276</v>
      </c>
      <c r="B162" s="6" t="s">
        <v>101</v>
      </c>
      <c r="C162" s="6" t="s">
        <v>277</v>
      </c>
      <c r="D162" s="2" t="s">
        <v>248</v>
      </c>
      <c r="F162" s="2">
        <v>30</v>
      </c>
      <c r="G162" s="2">
        <f t="shared" si="13"/>
        <v>0</v>
      </c>
      <c r="L162">
        <f t="shared" si="12"/>
        <v>0</v>
      </c>
    </row>
    <row r="163" spans="1:12">
      <c r="A163" s="6" t="s">
        <v>327</v>
      </c>
      <c r="B163" s="6" t="s">
        <v>116</v>
      </c>
      <c r="C163" s="6" t="s">
        <v>333</v>
      </c>
      <c r="D163" s="6" t="s">
        <v>335</v>
      </c>
      <c r="F163" s="2">
        <v>15</v>
      </c>
      <c r="L163">
        <f t="shared" ref="L163:L176" si="14">E163</f>
        <v>0</v>
      </c>
    </row>
    <row r="164" spans="1:12">
      <c r="A164" s="6" t="s">
        <v>328</v>
      </c>
      <c r="B164" s="6" t="s">
        <v>116</v>
      </c>
      <c r="C164" s="6" t="s">
        <v>333</v>
      </c>
      <c r="D164" s="6" t="s">
        <v>336</v>
      </c>
      <c r="F164" s="2">
        <v>15</v>
      </c>
      <c r="L164">
        <f t="shared" si="14"/>
        <v>0</v>
      </c>
    </row>
    <row r="165" spans="1:12">
      <c r="A165" s="6" t="s">
        <v>329</v>
      </c>
      <c r="B165" s="6" t="s">
        <v>116</v>
      </c>
      <c r="C165" s="6" t="s">
        <v>333</v>
      </c>
      <c r="D165" s="6" t="s">
        <v>337</v>
      </c>
      <c r="F165" s="2">
        <v>15</v>
      </c>
      <c r="L165">
        <f t="shared" si="14"/>
        <v>0</v>
      </c>
    </row>
    <row r="166" spans="1:12">
      <c r="A166" s="6" t="s">
        <v>330</v>
      </c>
      <c r="B166" s="6" t="s">
        <v>116</v>
      </c>
      <c r="C166" s="6" t="s">
        <v>333</v>
      </c>
      <c r="D166" s="6" t="s">
        <v>338</v>
      </c>
      <c r="F166" s="2">
        <v>15</v>
      </c>
      <c r="L166">
        <f t="shared" si="14"/>
        <v>0</v>
      </c>
    </row>
    <row r="167" spans="1:12">
      <c r="A167" s="6" t="s">
        <v>331</v>
      </c>
      <c r="B167" s="6" t="s">
        <v>116</v>
      </c>
      <c r="C167" s="6" t="s">
        <v>333</v>
      </c>
      <c r="D167" s="6" t="s">
        <v>248</v>
      </c>
      <c r="F167" s="2">
        <v>60</v>
      </c>
      <c r="L167">
        <f t="shared" si="14"/>
        <v>0</v>
      </c>
    </row>
    <row r="168" spans="1:12">
      <c r="A168" s="6" t="s">
        <v>332</v>
      </c>
      <c r="B168" s="6" t="s">
        <v>116</v>
      </c>
      <c r="C168" s="6" t="s">
        <v>334</v>
      </c>
      <c r="D168" s="6" t="s">
        <v>367</v>
      </c>
      <c r="F168" s="2">
        <v>2</v>
      </c>
      <c r="J168" s="2" t="s">
        <v>339</v>
      </c>
      <c r="L168">
        <f t="shared" si="14"/>
        <v>0</v>
      </c>
    </row>
    <row r="169" spans="1:12">
      <c r="A169" s="6" t="s">
        <v>340</v>
      </c>
      <c r="B169" s="6" t="s">
        <v>116</v>
      </c>
      <c r="C169" s="6" t="s">
        <v>348</v>
      </c>
      <c r="D169" s="6" t="s">
        <v>349</v>
      </c>
      <c r="E169" s="2"/>
      <c r="F169" s="2">
        <v>3</v>
      </c>
      <c r="L169">
        <f t="shared" si="14"/>
        <v>0</v>
      </c>
    </row>
    <row r="170" spans="1:12">
      <c r="A170" s="6" t="s">
        <v>341</v>
      </c>
      <c r="B170" s="6" t="s">
        <v>116</v>
      </c>
      <c r="C170" s="6" t="s">
        <v>348</v>
      </c>
      <c r="D170" s="6" t="s">
        <v>350</v>
      </c>
      <c r="E170" s="2"/>
      <c r="F170" s="2">
        <v>6</v>
      </c>
      <c r="L170">
        <f t="shared" si="14"/>
        <v>0</v>
      </c>
    </row>
    <row r="171" spans="1:12">
      <c r="A171" s="6" t="s">
        <v>342</v>
      </c>
      <c r="B171" s="6" t="s">
        <v>116</v>
      </c>
      <c r="C171" s="6" t="s">
        <v>348</v>
      </c>
      <c r="D171" s="6" t="s">
        <v>351</v>
      </c>
      <c r="E171" s="2"/>
      <c r="F171" s="2">
        <v>4</v>
      </c>
      <c r="L171">
        <f t="shared" si="14"/>
        <v>0</v>
      </c>
    </row>
    <row r="172" spans="1:12">
      <c r="A172" s="6" t="s">
        <v>343</v>
      </c>
      <c r="B172" s="6" t="s">
        <v>116</v>
      </c>
      <c r="C172" s="6" t="s">
        <v>348</v>
      </c>
      <c r="D172" s="6" t="s">
        <v>352</v>
      </c>
      <c r="E172" s="2"/>
      <c r="F172" s="2">
        <v>3</v>
      </c>
      <c r="L172">
        <f t="shared" si="14"/>
        <v>0</v>
      </c>
    </row>
    <row r="173" spans="1:12">
      <c r="A173" s="6" t="s">
        <v>344</v>
      </c>
      <c r="B173" s="6" t="s">
        <v>116</v>
      </c>
      <c r="C173" s="6" t="s">
        <v>348</v>
      </c>
      <c r="D173" s="6" t="s">
        <v>353</v>
      </c>
      <c r="E173" s="2"/>
      <c r="F173" s="2">
        <v>9</v>
      </c>
      <c r="L173">
        <f t="shared" si="14"/>
        <v>0</v>
      </c>
    </row>
    <row r="174" spans="1:12">
      <c r="A174" s="6" t="s">
        <v>345</v>
      </c>
      <c r="B174" s="6" t="s">
        <v>116</v>
      </c>
      <c r="C174" s="6" t="s">
        <v>348</v>
      </c>
      <c r="D174" s="6" t="s">
        <v>354</v>
      </c>
      <c r="E174" s="2"/>
      <c r="F174" s="2">
        <v>4</v>
      </c>
      <c r="L174">
        <f t="shared" si="14"/>
        <v>0</v>
      </c>
    </row>
    <row r="175" spans="1:12">
      <c r="A175" s="6" t="s">
        <v>346</v>
      </c>
      <c r="B175" s="6" t="s">
        <v>116</v>
      </c>
      <c r="C175" s="6" t="s">
        <v>348</v>
      </c>
      <c r="D175" s="6" t="s">
        <v>355</v>
      </c>
      <c r="E175" s="2"/>
      <c r="F175" s="2">
        <v>4</v>
      </c>
      <c r="L175">
        <f t="shared" si="14"/>
        <v>0</v>
      </c>
    </row>
    <row r="176" spans="1:12">
      <c r="A176" s="6" t="s">
        <v>347</v>
      </c>
      <c r="B176" s="6" t="s">
        <v>116</v>
      </c>
      <c r="C176" s="6" t="s">
        <v>348</v>
      </c>
      <c r="D176" s="6" t="s">
        <v>248</v>
      </c>
      <c r="E176" s="2"/>
      <c r="F176" s="2">
        <v>33</v>
      </c>
      <c r="L176">
        <f t="shared" si="14"/>
        <v>0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2014-08-22T21:16:02Z</dcterms:modified>
</cp:coreProperties>
</file>